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User\Dropbox\PENGURUSAN FASILITI\BANK FASILITI\"/>
    </mc:Choice>
  </mc:AlternateContent>
  <xr:revisionPtr revIDLastSave="0" documentId="13_ncr:1_{47D6E7E2-58D3-4350-9E1E-F57007863945}" xr6:coauthVersionLast="47" xr6:coauthVersionMax="47" xr10:uidLastSave="{00000000-0000-0000-0000-000000000000}"/>
  <bookViews>
    <workbookView xWindow="-110" yWindow="-110" windowWidth="25820" windowHeight="13900" activeTab="3" xr2:uid="{00000000-000D-0000-FFFF-FFFF00000000}"/>
  </bookViews>
  <sheets>
    <sheet name="DASHBOARD" sheetId="1" r:id="rId1"/>
    <sheet name="DATABASE property" sheetId="6" state="hidden" r:id="rId2"/>
    <sheet name="DONE" sheetId="7" r:id="rId3"/>
    <sheet name="PENDING" sheetId="8" r:id="rId4"/>
    <sheet name="TO REVIEW BY BOS" sheetId="11" r:id="rId5"/>
    <sheet name="DECLINED" sheetId="9" r:id="rId6"/>
    <sheet name="ENGINE" sheetId="4" r:id="rId7"/>
    <sheet name="ASSET" sheetId="10" r:id="rId8"/>
  </sheets>
  <externalReferences>
    <externalReference r:id="rId9"/>
  </externalReferences>
  <definedNames>
    <definedName name="_xlnm.Print_Area" localSheetId="7">ASSET!$A$1:$Q$5</definedName>
    <definedName name="_xlnm.Print_Area" localSheetId="5">DECLINED!$A$1:$R$33</definedName>
    <definedName name="_xlnm.Print_Area" localSheetId="2">DONE!$A$1:$R$18</definedName>
    <definedName name="_xlnm.Print_Area" localSheetId="3">PENDING!$A$1:$R$13</definedName>
    <definedName name="_xlnm.Print_Area" localSheetId="4">'TO REVIEW BY BOS'!$B$1:$J$5</definedName>
    <definedName name="_xlnm.Print_Titles" localSheetId="2">DONE!$1:$3</definedName>
    <definedName name="Slicer_BANK">#N/A</definedName>
    <definedName name="Slicer_COMPANIES">#N/A</definedName>
    <definedName name="Slicer_TYPE_OF_FACILITY">#N/A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4" i="7" l="1"/>
  <c r="C17" i="7"/>
  <c r="C16" i="7"/>
  <c r="R14" i="7"/>
  <c r="K11" i="11"/>
  <c r="E4" i="7"/>
  <c r="E5" i="7"/>
  <c r="E6" i="7"/>
  <c r="E7" i="8"/>
  <c r="E18" i="4"/>
  <c r="E30" i="9"/>
  <c r="E29" i="9"/>
  <c r="E28" i="9"/>
  <c r="E12" i="9"/>
  <c r="E11" i="9"/>
  <c r="E10" i="9"/>
  <c r="E9" i="9"/>
  <c r="E8" i="9"/>
  <c r="E7" i="9"/>
  <c r="E6" i="9"/>
  <c r="E27" i="9"/>
  <c r="E26" i="9"/>
  <c r="E25" i="9"/>
  <c r="E24" i="9"/>
  <c r="E23" i="9"/>
  <c r="E22" i="9"/>
  <c r="E21" i="9"/>
  <c r="E20" i="9"/>
  <c r="E19" i="9"/>
  <c r="E18" i="9"/>
  <c r="E17" i="9"/>
  <c r="E16" i="9"/>
  <c r="E15" i="9"/>
  <c r="E14" i="9"/>
  <c r="E13" i="9"/>
  <c r="C38" i="9"/>
  <c r="C36" i="9"/>
  <c r="C35" i="9"/>
  <c r="C37" i="9" s="1"/>
  <c r="C39" i="9" s="1"/>
  <c r="R31" i="9"/>
  <c r="Q31" i="9"/>
  <c r="C19" i="8"/>
  <c r="C17" i="8"/>
  <c r="C16" i="8"/>
  <c r="C18" i="8" s="1"/>
  <c r="R12" i="8"/>
  <c r="Q12" i="8"/>
  <c r="E6" i="8"/>
  <c r="E5" i="8"/>
  <c r="E4" i="8"/>
  <c r="C24" i="4"/>
  <c r="C23" i="4"/>
  <c r="C22" i="4"/>
  <c r="C21" i="4"/>
  <c r="C20" i="4"/>
  <c r="C19" i="4"/>
  <c r="C18" i="4"/>
  <c r="C17" i="4"/>
  <c r="C16" i="4"/>
  <c r="E16" i="4" s="1"/>
  <c r="C15" i="4"/>
  <c r="E15" i="4" s="1"/>
  <c r="C14" i="4"/>
  <c r="E14" i="4" s="1"/>
  <c r="C13" i="4"/>
  <c r="E13" i="4" s="1"/>
  <c r="C12" i="4"/>
  <c r="E12" i="4" s="1"/>
  <c r="C11" i="4"/>
  <c r="E11" i="4" s="1"/>
  <c r="C10" i="4"/>
  <c r="E10" i="4" s="1"/>
  <c r="C9" i="4"/>
  <c r="C8" i="4"/>
  <c r="C7" i="4"/>
  <c r="E7" i="4" s="1"/>
  <c r="C6" i="4"/>
  <c r="C5" i="4"/>
  <c r="E6" i="4"/>
  <c r="E5" i="4"/>
  <c r="R35" i="6"/>
  <c r="Q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4" i="6"/>
  <c r="E17" i="4"/>
  <c r="E19" i="4"/>
  <c r="E20" i="4"/>
  <c r="E22" i="4"/>
  <c r="E23" i="4"/>
  <c r="E24" i="4"/>
  <c r="C20" i="8" l="1"/>
  <c r="E21" i="4"/>
  <c r="E9" i="4"/>
  <c r="E8" i="4"/>
  <c r="C18" i="7"/>
  <c r="E5"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tc={132FD3B6-E625-48EA-ADAE-FD26495E0FCE}</author>
  </authors>
  <commentList>
    <comment ref="Q10" authorId="0" shapeId="0" xr:uid="{132FD3B6-E625-48EA-ADAE-FD26495E0FCE}">
      <text>
        <t xml:space="preserve">[Threaded comment]
Your version of Excel allows you to read this threaded comment; however, any edits to it will get removed if the file is opened in a newer version of Excel. Learn more: https://go.microsoft.com/fwlink/?linkid=870924
Comment:
    MIN : RM500K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tc={61DE3B8C-A653-48E9-AC71-51C2497AD330}</author>
    <author>tc={F06233EE-A277-4E23-BF08-AB880544E31D}</author>
    <author>tc={A91A156D-9A7D-4FFA-95DE-7D3A1336982D}</author>
    <author>tc={4CB9B612-732E-41D8-BB8E-DE0C0F6F2667}</author>
  </authors>
  <commentList>
    <comment ref="B8" authorId="0" shapeId="0" xr:uid="{61DE3B8C-A653-48E9-AC71-51C2497AD330}">
      <text>
        <t>[Threaded comment]
Your version of Excel allows you to read this threaded comment; however, any edits to it will get removed if the file is opened in a newer version of Excel. Learn more: https://go.microsoft.com/fwlink/?linkid=870924
Comment:
    Perlu buka current account dulu, untuk proses yang ni</t>
      </text>
    </comment>
    <comment ref="B9" authorId="1" shapeId="0" xr:uid="{F06233EE-A277-4E23-BF08-AB880544E31D}">
      <text>
        <t>[Threaded comment]
Your version of Excel allows you to read this threaded comment; however, any edits to it will get removed if the file is opened in a newer version of Excel. Learn more: https://go.microsoft.com/fwlink/?linkid=870924
Comment:
    Perlu buka current account dulu, untuk proses yang ni</t>
      </text>
    </comment>
    <comment ref="B10" authorId="2" shapeId="0" xr:uid="{A91A156D-9A7D-4FFA-95DE-7D3A1336982D}">
      <text>
        <t>[Threaded comment]
Your version of Excel allows you to read this threaded comment; however, any edits to it will get removed if the file is opened in a newer version of Excel. Learn more: https://go.microsoft.com/fwlink/?linkid=870924
Comment:
    Perlu buka current account dulu, untuk proses yang ni</t>
      </text>
    </comment>
    <comment ref="B11" authorId="3" shapeId="0" xr:uid="{4CB9B612-732E-41D8-BB8E-DE0C0F6F2667}">
      <text>
        <t>[Threaded comment]
Your version of Excel allows you to read this threaded comment; however, any edits to it will get removed if the file is opened in a newer version of Excel. Learn more: https://go.microsoft.com/fwlink/?linkid=870924
Comment:
    Perlu buka current account dulu, untuk proses yang ni</t>
      </text>
    </comment>
  </commentList>
</comments>
</file>

<file path=xl/sharedStrings.xml><?xml version="1.0" encoding="utf-8"?>
<sst xmlns="http://schemas.openxmlformats.org/spreadsheetml/2006/main" count="837" uniqueCount="230">
  <si>
    <t>COMPANY FACILITIES (DATABASE)</t>
  </si>
  <si>
    <t>COMPANIES</t>
  </si>
  <si>
    <t>BANK</t>
  </si>
  <si>
    <t>TYPE OF FACILITY</t>
  </si>
  <si>
    <t>NAME OF FACILITY</t>
  </si>
  <si>
    <t>APPLICATION STATUS</t>
  </si>
  <si>
    <t>PROGRESS</t>
  </si>
  <si>
    <t>TOTAL REQUESTED (RM)</t>
  </si>
  <si>
    <t>TOTAL OFFERED (RM)</t>
  </si>
  <si>
    <t>APPLICATION DETAILS</t>
  </si>
  <si>
    <t>BFR</t>
  </si>
  <si>
    <t>COLLATERAL</t>
  </si>
  <si>
    <t>PROFIT RATE</t>
  </si>
  <si>
    <t>RATE/TENURE</t>
  </si>
  <si>
    <t>AFRA SERVICES SDN BHD</t>
  </si>
  <si>
    <t>BANK ISLAM</t>
  </si>
  <si>
    <t>OVERDRAFT</t>
  </si>
  <si>
    <t>FIRST ALLIED SECURITY SERVICES SDN BHD</t>
  </si>
  <si>
    <t>NELANG SECURITY SDN BHD</t>
  </si>
  <si>
    <t>COMMITTED SECURITY SDN BHD</t>
  </si>
  <si>
    <t>BANK RAKYAT</t>
  </si>
  <si>
    <t>OPEN CASH LINE-I FINANCING FACILITY</t>
  </si>
  <si>
    <t>BFR + 0.5%</t>
  </si>
  <si>
    <t>MONTHLY / 5 YEARS</t>
  </si>
  <si>
    <t>CAPITAL FINANCING</t>
  </si>
  <si>
    <t>WORKING CAPITAL FINANCING-I FACILITY</t>
  </si>
  <si>
    <t>COMBINE WITH OVERDRAFT</t>
  </si>
  <si>
    <t>MUAZ FORCE SDN BHD</t>
  </si>
  <si>
    <t>TOUGH SECURITY SDN BHD</t>
  </si>
  <si>
    <t>DATE UPDATED</t>
  </si>
  <si>
    <t>GOLDEN IZZ ENTERPRISE</t>
  </si>
  <si>
    <t>RHB BANK</t>
  </si>
  <si>
    <t>RAZIA GLOBAL RESOURCES</t>
  </si>
  <si>
    <t>AA BERKAT MAJU ENTERPRISE</t>
  </si>
  <si>
    <t>20% FD (RM200,000)
80% SJPP (RM800,000)</t>
  </si>
  <si>
    <t>7 YEARS</t>
  </si>
  <si>
    <t>Row Labels</t>
  </si>
  <si>
    <t>Grand Total</t>
  </si>
  <si>
    <t>Column Labels</t>
  </si>
  <si>
    <t>Sum of TOTAL OFFERED (RM)</t>
  </si>
  <si>
    <t>SME BANK</t>
  </si>
  <si>
    <t>TERM LOAN</t>
  </si>
  <si>
    <t>BUMIPUTERA SUPPLY CHAIN (BSC)</t>
  </si>
  <si>
    <t>BUSINESS ACCELERATOR PROGRAM (BAP)</t>
  </si>
  <si>
    <t>COMMODITY MURABAHAH TERM FINANCING-I (CMTF-i)</t>
  </si>
  <si>
    <t>PEMULIH GOVERNMENT GUARANTEE SCHEME</t>
  </si>
  <si>
    <t>COLLABORATIVE FINANCING PROGRAM WITH TERAJU</t>
  </si>
  <si>
    <t>COLLABORATIVE FINANCING PROGRAM WITH SME CORP</t>
  </si>
  <si>
    <t>MAYBANK</t>
  </si>
  <si>
    <t>STANDARD CHARTERED</t>
  </si>
  <si>
    <t>CM CASH LINE-i</t>
  </si>
  <si>
    <t>PATRIOT PROTECTION &amp; SECURITY SDN BHD</t>
  </si>
  <si>
    <t>MUAZ MAJU SDN BHD</t>
  </si>
  <si>
    <t>MUAZ SERVICES SDN BHD</t>
  </si>
  <si>
    <t>AL BASSYASYAH ENTERPRISE</t>
  </si>
  <si>
    <t>MSA SINAR ENTERPRISE</t>
  </si>
  <si>
    <t>SYAZA TRADING</t>
  </si>
  <si>
    <t>20% FD (RM160,000)
80% SJPP (RM640,000)</t>
  </si>
  <si>
    <t>1. 15% security margin (reimbursement grant)
2. Any other collateral or guarantee scheme acceptable to the Bank</t>
  </si>
  <si>
    <t>BFR+ 1.5%</t>
  </si>
  <si>
    <t>UP TO 7 YEARS</t>
  </si>
  <si>
    <t>1. Fixed asset to be financed
2. Minimum 10% cash collateral for working capital financing
3. Joint and several guarantees of directors/shareholders</t>
  </si>
  <si>
    <t>5 YEARS</t>
  </si>
  <si>
    <t>The bank will evaluate  the requirement for collateral and/or guarantor</t>
  </si>
  <si>
    <t>80% SJPP</t>
  </si>
  <si>
    <t>BFR+ 1.0%</t>
  </si>
  <si>
    <t>UP TO 12 YEARS</t>
  </si>
  <si>
    <t>BFR + 1% @ 2%</t>
  </si>
  <si>
    <t>MAX 10 YEARS</t>
  </si>
  <si>
    <t>FD RM300,000.00
SINKING FUND RM300,000.00 (COMMENCE AFTER 3 MONTHS)
SJPP RM2,400,000.00</t>
  </si>
  <si>
    <t>BFR + 1.08%</t>
  </si>
  <si>
    <t>120 DAYS FOR EVERY DISBURSEMENT (REVOLVING) WITH MAX FACILITY TENURE OF 5 YEARS</t>
  </si>
  <si>
    <t>20% FD (RM400,000)
80% SJPP (RM1,600,000)</t>
  </si>
  <si>
    <t>DONE</t>
  </si>
  <si>
    <t>DISBURSED &amp; READY TO USE</t>
  </si>
  <si>
    <t>IN PROGRESS</t>
  </si>
  <si>
    <t>PENDING DOCS SUBMISSION (AUTHORISED SIGNATURE)</t>
  </si>
  <si>
    <t>DOCUMENT SEND</t>
  </si>
  <si>
    <t>PENDING DOCS SUBMISSION (DIRECTOR CONSENT FORM SIGNATURE)</t>
  </si>
  <si>
    <t>BANK GUARANTEE</t>
  </si>
  <si>
    <t>ON HOLD</t>
  </si>
  <si>
    <t>YEAR OF APPLICATION</t>
  </si>
  <si>
    <t>DATE DOCUMENT SEND</t>
  </si>
  <si>
    <t>AFFIN BANK</t>
  </si>
  <si>
    <t>AGRO BANK</t>
  </si>
  <si>
    <t>ALLIANCE BANK</t>
  </si>
  <si>
    <t>AMBANK</t>
  </si>
  <si>
    <t>BANK MUAMALAT</t>
  </si>
  <si>
    <t>BSN</t>
  </si>
  <si>
    <t>CIMB BANK</t>
  </si>
  <si>
    <t>CITIBANK</t>
  </si>
  <si>
    <t>HONG LEONG BANK</t>
  </si>
  <si>
    <t>HSBC BANK</t>
  </si>
  <si>
    <t>MBSB BANK</t>
  </si>
  <si>
    <t>OCBC BANK</t>
  </si>
  <si>
    <t>PUBLIC BANK</t>
  </si>
  <si>
    <t>UOB BANK</t>
  </si>
  <si>
    <t>Total</t>
  </si>
  <si>
    <t>DIFFERENCE</t>
  </si>
  <si>
    <t>M-GOVERNMENT GUARANTEE SCHEME</t>
  </si>
  <si>
    <t>20/11/2023</t>
  </si>
  <si>
    <t>BFR + 0.50%</t>
  </si>
  <si>
    <t>COMMITTED FIREARMS SDN BHD</t>
  </si>
  <si>
    <t>COMPANY PROPERTY (DATABASE)</t>
  </si>
  <si>
    <t>09.06.2024</t>
  </si>
  <si>
    <t>PROPERTY</t>
  </si>
  <si>
    <t>SHOPLOT 4 TINGKAT (SETAPAK) - 3.5J
BUNGALOW (CHERAS) - 4.4J</t>
  </si>
  <si>
    <t>BFR - 1.95%
: 4.86%</t>
  </si>
  <si>
    <t>MAX 20 YEARS</t>
  </si>
  <si>
    <t>PREPARING DOCUMENTS</t>
  </si>
  <si>
    <t>14.06.2024</t>
  </si>
  <si>
    <t>LOAN 
X
OVERDRAFT</t>
  </si>
  <si>
    <t>SJPP - 80%</t>
  </si>
  <si>
    <t>FD - 20%</t>
  </si>
  <si>
    <t>BFR - 1.95%</t>
  </si>
  <si>
    <t>10 YEARS / ANNUAL REVIEW</t>
  </si>
  <si>
    <t>DATE TO FOLLOW UP</t>
  </si>
  <si>
    <t>LETTER OF CREDIT</t>
  </si>
  <si>
    <t>TAWARRUQ CASH LINE-I (WORKING CAPITAL GUARANTEE SCHEME BUMIPUTERA 2 (WCGS BUMI 2)) - SJPP</t>
  </si>
  <si>
    <t>MSA SINAR</t>
  </si>
  <si>
    <t>TOUGH SECURITY</t>
  </si>
  <si>
    <t>BFR + 1.0%
CEILING : BFR + 4.0% = 11%</t>
  </si>
  <si>
    <t>NOW 7.00</t>
  </si>
  <si>
    <t>Column1</t>
  </si>
  <si>
    <t>COMMODITY MURABAHAH TERM FINANCING I</t>
  </si>
  <si>
    <t>SJPP 80%</t>
  </si>
  <si>
    <t>RHB PRE-FINANCING PROGRAM</t>
  </si>
  <si>
    <t xml:space="preserve">BFR + MAX 2.00% </t>
  </si>
  <si>
    <t xml:space="preserve">UP TO 10 YEARS </t>
  </si>
  <si>
    <t>FD RM 1,000,000</t>
  </si>
  <si>
    <t>10/04/2025</t>
  </si>
  <si>
    <t>BNM ALL ECONOMIC SECTPRS FACILITY (AES) DUNF</t>
  </si>
  <si>
    <t>70%  SJPP
20% TERAJU
TAK PERLU BAYAR APA FOR 3 MONTHS UPFRONT INSTALLMENT</t>
  </si>
  <si>
    <t>May-23</t>
  </si>
  <si>
    <t>Jul-25</t>
  </si>
  <si>
    <t>TARIKH KEMASKINI: 07.2025</t>
  </si>
  <si>
    <t>TARIKH KEMASKINI : 16.07.2025</t>
  </si>
  <si>
    <t>CONDUCT OF ACCOUNT X CANTIK (CCRIS - TUNGGAKAN KERETA)</t>
  </si>
  <si>
    <t>DECLINED BY BANK</t>
  </si>
  <si>
    <t>COMMODITY MURABAHAH OVERDRAFT-I (PGGS)</t>
  </si>
  <si>
    <t>DAILY / 15 YEARS WITH 5 YEARS CYCLE</t>
  </si>
  <si>
    <t>RUN OUT OF FUND</t>
  </si>
  <si>
    <t>COMMODITY MURABAHAH OVERDRAFT-i</t>
  </si>
  <si>
    <t>Options:-
1. Sinking Fund (20% Every 6 months / 1 year)
2. 1 to 1
3. Property</t>
  </si>
  <si>
    <t>BR + 1.75%</t>
  </si>
  <si>
    <t>DAILY / -</t>
  </si>
  <si>
    <t>TARGETED RELIEF &amp; RECOVERY FACILITY</t>
  </si>
  <si>
    <t>COMMODITY MURABAHAH TERM FINANCING-i - TARGETED RELIEF AND RECOVERY FACILITY (CMTF-i – TRFi)</t>
  </si>
  <si>
    <t>80% SJPP (RM400,000)</t>
  </si>
  <si>
    <t>BFR + 1%</t>
  </si>
  <si>
    <t>ALRAZIA ENTERPRISE</t>
  </si>
  <si>
    <t>6 YEARS 6 MONTHS + 6 MONTHS MORATORIUM PERIOD</t>
  </si>
  <si>
    <t xml:space="preserve">MUAZ MAJU ENTERPRISE </t>
  </si>
  <si>
    <t>Collateral is NOT required under the TRRF</t>
  </si>
  <si>
    <t>DIDN'T PASS SCORING</t>
  </si>
  <si>
    <t>BUSINESS CASH LINE-i</t>
  </si>
  <si>
    <t>negative obitda; negative DSR, it means repymnt capacity cust is negative</t>
  </si>
  <si>
    <t>PROBLEM WITH DIRECTORS' CCRIS</t>
  </si>
  <si>
    <t>UPDATE</t>
  </si>
  <si>
    <t>TAX FLYING ACTIVITIES</t>
  </si>
  <si>
    <t>HERNEYNA ENTERPRISE</t>
  </si>
  <si>
    <t>NAFZA BAKTI ENTERPRISE</t>
  </si>
  <si>
    <t>BLUEPEARL ASM RESOURCES</t>
  </si>
  <si>
    <t>IRLY ENTERPRISE</t>
  </si>
  <si>
    <t>IZHORA KLADER TRADING</t>
  </si>
  <si>
    <t>MANAGEMENT TURNOVER MORE TO SALON ACTIVITIES. NOT PREFERABLE BY BANK.</t>
  </si>
  <si>
    <t>1. FD (RM500,000)
2. SINKING FUND (RM50,000 EVERY 6 MONTHS - RM500,000)</t>
  </si>
  <si>
    <t>DECLINED BY COMPANY</t>
  </si>
  <si>
    <t>COLLATERAL USING SINKING FUND</t>
  </si>
  <si>
    <t>1. FD (RM90,000)
2. SINKING FUND (RM11,000 EVERY 3 MONTHS - RM210,000)</t>
  </si>
  <si>
    <t>BFR + 1.0% p.a
CEILING RATE 12% p.a</t>
  </si>
  <si>
    <t>FD RM875000
SINKING FUND RM5000.00 (COMMENCE AFTER 3 MONTHS)
SJPP 80% ON TOTAL FINANCING</t>
  </si>
  <si>
    <t>DOCUMENTS SEND</t>
  </si>
  <si>
    <t>TARIKH KEMASKINI : 17.11.2025</t>
  </si>
  <si>
    <t>REQ  NEW DOCUMENTS</t>
  </si>
  <si>
    <t>SIGN CONSENT DISCLOSE INFORMATION</t>
  </si>
  <si>
    <t>TARIKH KEMASKINI : 06.05.2026</t>
  </si>
  <si>
    <t>ATLAS MOTIONS SDN BHD</t>
  </si>
  <si>
    <t>UOB</t>
  </si>
  <si>
    <t>PBB</t>
  </si>
  <si>
    <t>PENDING</t>
  </si>
  <si>
    <t>REVERT DOCUMENT WITH CHOP</t>
  </si>
  <si>
    <t>PROGRESS AT HEAD OFFICE</t>
  </si>
  <si>
    <t>ASSET FACILITIES (DATABASE)</t>
  </si>
  <si>
    <t>ASSET GAMODA</t>
  </si>
  <si>
    <t>SME SRF</t>
  </si>
  <si>
    <t>UP TO 5 YEARS</t>
  </si>
  <si>
    <t>3.75% P.A. INCLUSIVE OF GUARANTEE FREE</t>
  </si>
  <si>
    <t>GUARANTEE COVERAGE : UP TO 80&amp; BY SJPP/ CGC</t>
  </si>
  <si>
    <t>PERLU BUKA UNTUK PROSES ACCPUNT</t>
  </si>
  <si>
    <t>Column2</t>
  </si>
  <si>
    <t xml:space="preserve">TAK PERLU BUKA UNTUK </t>
  </si>
  <si>
    <t>EMAILED</t>
  </si>
  <si>
    <t>LEGAL FEE
ADA (BOLEH PAKAI LATER SENDIRI, BANK AKAN DAPATKAN APPROVAL)</t>
  </si>
  <si>
    <t>SJPP FEE 
TIADA</t>
  </si>
  <si>
    <t>Column3</t>
  </si>
  <si>
    <t xml:space="preserve">INSURANS
TERTAKLUK KEPADA BANK RISK MANAGAMENT
</t>
  </si>
  <si>
    <t>Column4</t>
  </si>
  <si>
    <t>10 TAHUN JAMINAN DARIPADA BANK NEGARA, X PERLU BAGI COLLATERAL</t>
  </si>
  <si>
    <t>Column5</t>
  </si>
  <si>
    <t>FACILITIES BY AFFIN BANK</t>
  </si>
  <si>
    <t>NO</t>
  </si>
  <si>
    <t>AFFIN Tawarruq Cash Line-i</t>
  </si>
  <si>
    <t>AFFIN SME SRF</t>
  </si>
  <si>
    <t>1-10 YEARS SUBJECT TO ANNUAL REVIEW</t>
  </si>
  <si>
    <t>SUBJECT TO BANK'S EVALUATION</t>
  </si>
  <si>
    <t>SUBJECT TO BANK'S EVALUATION
TAKAFUL BY BANK'S PANEL / OTHER TAKAFUL PROVIDERS</t>
  </si>
  <si>
    <t>LEGAL FEE</t>
  </si>
  <si>
    <t>BFR (6.56%) + SPREAD (0.5% - 2.5% P.A)
CEILING : 12% P.A</t>
  </si>
  <si>
    <t>YES (CAN USE OWN LAWYER, BANK WILL SEEK FOR APPROVAL)</t>
  </si>
  <si>
    <t>LOAN / FINANCING LIMIT</t>
  </si>
  <si>
    <t>GUARANTEE / COLLATERAL</t>
  </si>
  <si>
    <t>TAKAFUL / INSURANCE</t>
  </si>
  <si>
    <t>TENURE</t>
  </si>
  <si>
    <t>DEPENDS ON REVIEW BY BANK</t>
  </si>
  <si>
    <t>3.75% (INCLUSIVE GUARANTEE FEE 0.5%)</t>
  </si>
  <si>
    <t>RM 750,000</t>
  </si>
  <si>
    <t>5 YEARS (FIXED)</t>
  </si>
  <si>
    <t>UP TO 80% GUARANTEE BY CGC/SJPP
NO SJPP FEE
GUARANTEE BY BANK FOR 10 YEARS (NO COLLATERAL)</t>
  </si>
  <si>
    <t>ABOVE
RM 500,000</t>
  </si>
  <si>
    <t>LEGAL FEE RM 35491.30. LAWYER SENDIRI - WAN ABD MUTTALIB</t>
  </si>
  <si>
    <t>TOTAL</t>
  </si>
  <si>
    <t>HOLD</t>
  </si>
  <si>
    <t>EMAILED - BOSS TAK PROCEED</t>
  </si>
  <si>
    <t>SULIMI</t>
  </si>
  <si>
    <t>MUAZ SERVICES</t>
  </si>
  <si>
    <t>TOTAL APPROVED (RM)</t>
  </si>
  <si>
    <t>DECLINED</t>
  </si>
  <si>
    <t>ANNUAL REVIEW 2025 - APPROVED 500K OCL
DECLINED 500K WCF
(DECLINED BY BANK DUE TO LACK OF USE)</t>
  </si>
  <si>
    <t>TARIKH KEMASKINI : 30.06.2026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</si>
</sst>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RM-4409]* #,##0.00_-;\-[$RM-4409]* #,##0.00_-;_-[$RM-4409]* &quot;-&quot;??_-;_-@_-"/>
    <numFmt numFmtId="165" formatCode="mm/dd/yyyy"/>
    <numFmt numFmtId="166" formatCode="0.0%"/>
  </numFmts>
  <fonts count="19" x14ac:knownFonts="1">
    <font>
      <sz val="11"/>
      <color theme="1"/>
      <name val="Calibri"/>
      <family val="2"/>
      <scheme val="minor"/>
    </font>
    <font>
      <sz val="11"/>
      <color theme="1"/>
      <name val="Calibri"/>
      <family val="2"/>
      <scheme val="minor"/>
    </font>
    <font>
      <sz val="11"/>
      <color theme="1"/>
      <name val="Tahoma"/>
      <family val="2"/>
    </font>
    <font>
      <u/>
      <sz val="11"/>
      <color theme="1"/>
      <name val="Tahoma"/>
      <family val="2"/>
    </font>
    <font>
      <b/>
      <u/>
      <sz val="20"/>
      <color rgb="FF002060"/>
      <name val="Tahoma"/>
      <family val="2"/>
    </font>
    <font>
      <sz val="8"/>
      <name val="Calibri"/>
      <family val="2"/>
      <scheme val="minor"/>
    </font>
    <font>
      <sz val="11"/>
      <name val="Tahoma"/>
      <family val="2"/>
    </font>
    <font>
      <b/>
      <u/>
      <sz val="11"/>
      <color rgb="FFFF0000"/>
      <name val="Calibri"/>
      <family val="2"/>
      <scheme val="minor"/>
    </font>
    <font>
      <sz val="11"/>
      <color rgb="FFFF0000"/>
      <name val="Tahoma"/>
      <family val="2"/>
    </font>
    <font>
      <b/>
      <sz val="11"/>
      <color theme="1"/>
      <name val="Tahoma"/>
      <family val="2"/>
    </font>
    <font>
      <sz val="11"/>
      <color rgb="FF000000"/>
      <name val="Tahoma"/>
      <family val="2"/>
    </font>
    <font>
      <sz val="14"/>
      <color theme="1"/>
      <name val="Tahoma"/>
      <family val="2"/>
    </font>
    <font>
      <sz val="14"/>
      <color rgb="FF000000"/>
      <name val="Tahoma"/>
      <family val="2"/>
    </font>
    <font>
      <sz val="14"/>
      <name val="Tahoma"/>
      <family val="2"/>
    </font>
    <font>
      <b/>
      <u/>
      <sz val="14"/>
      <color rgb="FF002060"/>
      <name val="Tahoma"/>
      <family val="2"/>
    </font>
    <font>
      <u/>
      <sz val="14"/>
      <color theme="1"/>
      <name val="Tahoma"/>
      <family val="2"/>
    </font>
    <font>
      <sz val="14"/>
      <color theme="1"/>
      <name val="Calibri"/>
      <family val="2"/>
      <scheme val="minor"/>
    </font>
    <font>
      <sz val="16"/>
      <color theme="1"/>
      <name val="Tahoma"/>
      <family val="2"/>
    </font>
    <font>
      <b/>
      <sz val="14"/>
      <name val="Tahoma"/>
      <family val="2"/>
    </font>
  </fonts>
  <fills count="9">
    <fill>
      <patternFill patternType="none"/>
    </fill>
    <fill>
      <patternFill patternType="gray125"/>
    </fill>
    <fill>
      <patternFill patternType="solid">
        <fgColor theme="1"/>
        <bgColor indexed="64"/>
      </patternFill>
    </fill>
    <fill>
      <patternFill patternType="solid">
        <fgColor theme="8" tint="0.79998168889431442"/>
        <bgColor theme="8" tint="0.79998168889431442"/>
      </patternFill>
    </fill>
    <fill>
      <patternFill patternType="solid">
        <fgColor theme="5"/>
        <bgColor indexed="64"/>
      </patternFill>
    </fill>
    <fill>
      <patternFill patternType="solid">
        <fgColor theme="4"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rgb="FFFF00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thin">
        <color indexed="64"/>
      </top>
      <bottom/>
      <diagonal/>
    </border>
    <border>
      <left style="thin">
        <color theme="0"/>
      </left>
      <right style="thin">
        <color indexed="64"/>
      </right>
      <top style="thin">
        <color indexed="64"/>
      </top>
      <bottom style="thin">
        <color theme="0"/>
      </bottom>
      <diagonal/>
    </border>
    <border>
      <left style="thin">
        <color indexed="64"/>
      </left>
      <right/>
      <top/>
      <bottom/>
      <diagonal/>
    </border>
    <border>
      <left style="thin">
        <color theme="0"/>
      </left>
      <right style="thin">
        <color indexed="64"/>
      </right>
      <top style="thin">
        <color theme="0"/>
      </top>
      <bottom style="thin">
        <color theme="0"/>
      </bottom>
      <diagonal/>
    </border>
    <border>
      <left style="thin">
        <color theme="0"/>
      </left>
      <right style="thin">
        <color indexed="64"/>
      </right>
      <top style="thin">
        <color theme="0"/>
      </top>
      <bottom style="thin">
        <color indexed="64"/>
      </bottom>
      <diagonal/>
    </border>
    <border>
      <left style="thin">
        <color indexed="64"/>
      </left>
      <right style="thin">
        <color theme="0"/>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8"/>
      </left>
      <right style="thin">
        <color theme="8"/>
      </right>
      <top style="thin">
        <color theme="8"/>
      </top>
      <bottom style="thin">
        <color theme="8"/>
      </bottom>
      <diagonal/>
    </border>
    <border>
      <left/>
      <right style="thin">
        <color theme="8" tint="-0.249977111117893"/>
      </right>
      <top/>
      <bottom/>
      <diagonal/>
    </border>
    <border>
      <left style="thin">
        <color theme="8" tint="-0.249977111117893"/>
      </left>
      <right style="thin">
        <color theme="8" tint="-0.249977111117893"/>
      </right>
      <top style="thin">
        <color theme="8" tint="-0.249977111117893"/>
      </top>
      <bottom style="thin">
        <color theme="0"/>
      </bottom>
      <diagonal/>
    </border>
    <border>
      <left/>
      <right/>
      <top/>
      <bottom style="thin">
        <color theme="8" tint="-0.249977111117893"/>
      </bottom>
      <diagonal/>
    </border>
    <border>
      <left style="thin">
        <color theme="8" tint="-0.249977111117893"/>
      </left>
      <right style="thin">
        <color theme="8" tint="-0.249977111117893"/>
      </right>
      <top/>
      <bottom style="thin">
        <color theme="8" tint="-0.249977111117893"/>
      </bottom>
      <diagonal/>
    </border>
    <border>
      <left/>
      <right/>
      <top style="thin">
        <color indexed="64"/>
      </top>
      <bottom style="double">
        <color indexed="64"/>
      </bottom>
      <diagonal/>
    </border>
    <border>
      <left/>
      <right/>
      <top/>
      <bottom style="thin">
        <color indexed="64"/>
      </bottom>
      <diagonal/>
    </border>
  </borders>
  <cellStyleXfs count="2">
    <xf numFmtId="0" fontId="0" fillId="0" borderId="0"/>
    <xf numFmtId="9" fontId="1" fillId="0" borderId="0" applyFont="0" applyFill="0" applyBorder="0" applyAlignment="0" applyProtection="0"/>
  </cellStyleXfs>
  <cellXfs count="105">
    <xf numFmtId="0" fontId="0" fillId="0" borderId="0" xfId="0"/>
    <xf numFmtId="0" fontId="2" fillId="0" borderId="0" xfId="0" applyFont="1" applyAlignment="1">
      <alignment horizontal="center" vertical="center" wrapText="1"/>
    </xf>
    <xf numFmtId="9" fontId="2" fillId="0" borderId="0" xfId="1" applyFont="1" applyAlignment="1">
      <alignment horizontal="center" vertical="center" wrapText="1"/>
    </xf>
    <xf numFmtId="0" fontId="3" fillId="0" borderId="0" xfId="0" applyFont="1" applyAlignment="1">
      <alignment horizontal="center" vertical="center" wrapText="1"/>
    </xf>
    <xf numFmtId="0" fontId="2" fillId="2" borderId="0" xfId="0" applyFont="1" applyFill="1" applyAlignment="1">
      <alignment horizontal="center" vertical="center" wrapText="1"/>
    </xf>
    <xf numFmtId="164" fontId="2" fillId="0" borderId="0" xfId="0" applyNumberFormat="1" applyFont="1" applyAlignment="1">
      <alignment horizontal="center" vertical="center" wrapText="1"/>
    </xf>
    <xf numFmtId="14" fontId="2" fillId="0" borderId="0" xfId="1" applyNumberFormat="1" applyFont="1" applyAlignment="1">
      <alignment horizontal="center" vertical="center" wrapText="1"/>
    </xf>
    <xf numFmtId="10" fontId="2" fillId="0" borderId="0" xfId="0" applyNumberFormat="1" applyFont="1" applyAlignment="1">
      <alignment horizontal="center" vertical="center" wrapText="1"/>
    </xf>
    <xf numFmtId="10" fontId="2" fillId="0" borderId="0" xfId="1" applyNumberFormat="1" applyFont="1" applyAlignment="1">
      <alignment horizontal="center" vertical="center" wrapText="1"/>
    </xf>
    <xf numFmtId="10" fontId="0" fillId="0" borderId="0" xfId="1" applyNumberFormat="1" applyFont="1"/>
    <xf numFmtId="0" fontId="6" fillId="0" borderId="0" xfId="0" applyFont="1" applyAlignment="1">
      <alignment horizontal="center" vertical="center" wrapText="1"/>
    </xf>
    <xf numFmtId="0" fontId="4" fillId="0" borderId="0" xfId="0" applyFont="1" applyAlignment="1">
      <alignment horizontal="left" vertical="center"/>
    </xf>
    <xf numFmtId="43" fontId="2" fillId="0" borderId="0" xfId="0" applyNumberFormat="1" applyFont="1" applyAlignment="1">
      <alignment vertical="center"/>
    </xf>
    <xf numFmtId="43" fontId="0" fillId="0" borderId="0" xfId="0" applyNumberFormat="1"/>
    <xf numFmtId="43" fontId="0" fillId="0" borderId="1" xfId="0" pivotButton="1" applyNumberFormat="1" applyBorder="1"/>
    <xf numFmtId="43" fontId="0" fillId="0" borderId="1" xfId="0" applyNumberFormat="1" applyBorder="1"/>
    <xf numFmtId="43" fontId="0" fillId="0" borderId="1" xfId="0" applyNumberFormat="1" applyBorder="1" applyAlignment="1">
      <alignment horizontal="left"/>
    </xf>
    <xf numFmtId="43" fontId="0" fillId="0" borderId="1" xfId="0" applyNumberFormat="1" applyBorder="1" applyAlignment="1">
      <alignment horizontal="left" indent="1"/>
    </xf>
    <xf numFmtId="43" fontId="2" fillId="0" borderId="0" xfId="0" applyNumberFormat="1" applyFont="1" applyAlignment="1">
      <alignment horizontal="center" vertical="center" wrapText="1"/>
    </xf>
    <xf numFmtId="43" fontId="0" fillId="0" borderId="1" xfId="0" pivotButton="1" applyNumberFormat="1" applyBorder="1" applyAlignment="1">
      <alignment horizontal="center" vertical="center" wrapText="1"/>
    </xf>
    <xf numFmtId="43" fontId="0" fillId="0" borderId="1" xfId="0" applyNumberFormat="1" applyBorder="1" applyAlignment="1">
      <alignment horizontal="center" vertical="center" wrapText="1"/>
    </xf>
    <xf numFmtId="43" fontId="0" fillId="0" borderId="0" xfId="0" applyNumberFormat="1" applyAlignment="1">
      <alignment horizontal="center" vertical="center" wrapText="1"/>
    </xf>
    <xf numFmtId="0" fontId="7" fillId="0" borderId="0" xfId="0" applyFont="1"/>
    <xf numFmtId="0" fontId="0" fillId="0" borderId="0" xfId="0" applyAlignment="1">
      <alignment horizontal="center" vertical="center"/>
    </xf>
    <xf numFmtId="164" fontId="0" fillId="0" borderId="0" xfId="0" applyNumberFormat="1" applyAlignment="1">
      <alignment horizontal="center" vertical="center"/>
    </xf>
    <xf numFmtId="0" fontId="6" fillId="0" borderId="2" xfId="0" applyFont="1" applyBorder="1" applyAlignment="1">
      <alignment horizontal="center" vertical="center" wrapText="1"/>
    </xf>
    <xf numFmtId="0" fontId="0" fillId="0" borderId="5" xfId="0" applyBorder="1"/>
    <xf numFmtId="10" fontId="0" fillId="0" borderId="6" xfId="1" applyNumberFormat="1" applyFont="1" applyFill="1" applyBorder="1"/>
    <xf numFmtId="10" fontId="0" fillId="0" borderId="7" xfId="0" applyNumberFormat="1" applyBorder="1"/>
    <xf numFmtId="10" fontId="0" fillId="0" borderId="8" xfId="0" applyNumberFormat="1" applyBorder="1"/>
    <xf numFmtId="10" fontId="0" fillId="0" borderId="10" xfId="1" applyNumberFormat="1" applyFont="1" applyFill="1" applyBorder="1"/>
    <xf numFmtId="10" fontId="0" fillId="0" borderId="11" xfId="1" applyNumberFormat="1" applyFont="1" applyFill="1" applyBorder="1"/>
    <xf numFmtId="14" fontId="2" fillId="3" borderId="12" xfId="1" applyNumberFormat="1" applyFont="1" applyFill="1" applyBorder="1" applyAlignment="1">
      <alignment horizontal="center" vertical="center" wrapText="1"/>
    </xf>
    <xf numFmtId="165" fontId="2" fillId="0" borderId="0" xfId="1" quotePrefix="1" applyNumberFormat="1" applyFont="1" applyAlignment="1">
      <alignment horizontal="center" vertical="center" wrapText="1"/>
    </xf>
    <xf numFmtId="9" fontId="6" fillId="0" borderId="0" xfId="0" applyNumberFormat="1" applyFont="1" applyAlignment="1">
      <alignment horizontal="center" vertical="center" wrapText="1"/>
    </xf>
    <xf numFmtId="0" fontId="8" fillId="0" borderId="0" xfId="0" applyFont="1" applyAlignment="1">
      <alignment horizontal="center" vertical="center" wrapText="1"/>
    </xf>
    <xf numFmtId="10" fontId="2" fillId="0" borderId="0" xfId="1" applyNumberFormat="1" applyFont="1" applyBorder="1" applyAlignment="1">
      <alignment horizontal="center" vertical="center" wrapText="1"/>
    </xf>
    <xf numFmtId="9" fontId="2" fillId="0" borderId="0" xfId="1" applyFont="1" applyBorder="1" applyAlignment="1">
      <alignment horizontal="center" vertical="center" wrapText="1"/>
    </xf>
    <xf numFmtId="14" fontId="2" fillId="0" borderId="0" xfId="1" applyNumberFormat="1" applyFont="1" applyBorder="1" applyAlignment="1">
      <alignment horizontal="center" vertical="center" wrapText="1"/>
    </xf>
    <xf numFmtId="14" fontId="2" fillId="0" borderId="0" xfId="1" applyNumberFormat="1" applyFont="1" applyFill="1" applyBorder="1" applyAlignment="1">
      <alignment horizontal="center" vertical="center" wrapText="1"/>
    </xf>
    <xf numFmtId="0" fontId="2"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6" xfId="0" applyFont="1" applyBorder="1" applyAlignment="1">
      <alignment horizontal="center" vertical="center" wrapText="1"/>
    </xf>
    <xf numFmtId="0" fontId="2" fillId="0" borderId="15" xfId="0" applyFont="1" applyBorder="1" applyAlignment="1">
      <alignment horizontal="center" vertical="center" wrapText="1"/>
    </xf>
    <xf numFmtId="14" fontId="2" fillId="0" borderId="0" xfId="1" quotePrefix="1" applyNumberFormat="1" applyFont="1" applyAlignment="1">
      <alignment horizontal="center" vertical="center" wrapText="1"/>
    </xf>
    <xf numFmtId="0" fontId="2" fillId="0" borderId="0" xfId="0" applyFont="1" applyAlignment="1">
      <alignment horizontal="right" vertical="center"/>
    </xf>
    <xf numFmtId="164" fontId="2" fillId="0" borderId="17" xfId="0" applyNumberFormat="1" applyFont="1" applyBorder="1" applyAlignment="1">
      <alignment horizontal="center" vertical="center" wrapText="1"/>
    </xf>
    <xf numFmtId="17" fontId="0" fillId="0" borderId="9" xfId="1" applyNumberFormat="1" applyFont="1" applyBorder="1"/>
    <xf numFmtId="17" fontId="0" fillId="0" borderId="4" xfId="0" applyNumberFormat="1" applyBorder="1"/>
    <xf numFmtId="164" fontId="2" fillId="2" borderId="0" xfId="0" applyNumberFormat="1" applyFont="1" applyFill="1" applyAlignment="1">
      <alignment horizontal="center" vertical="center" wrapText="1"/>
    </xf>
    <xf numFmtId="166" fontId="2" fillId="0" borderId="0" xfId="0" applyNumberFormat="1" applyFont="1" applyAlignment="1">
      <alignment horizontal="center" vertical="center" wrapText="1"/>
    </xf>
    <xf numFmtId="0" fontId="2" fillId="0" borderId="1" xfId="0" applyFont="1" applyBorder="1" applyAlignment="1">
      <alignment horizontal="center" vertical="center" wrapText="1"/>
    </xf>
    <xf numFmtId="0" fontId="2" fillId="0" borderId="0" xfId="0" applyFont="1" applyAlignment="1">
      <alignment horizontal="center" vertical="center"/>
    </xf>
    <xf numFmtId="10" fontId="2" fillId="0" borderId="0" xfId="1" applyNumberFormat="1" applyFont="1" applyAlignment="1">
      <alignment horizontal="center" vertical="center"/>
    </xf>
    <xf numFmtId="9" fontId="2" fillId="0" borderId="0" xfId="1" applyFont="1" applyAlignment="1">
      <alignment horizontal="center" vertical="center"/>
    </xf>
    <xf numFmtId="14" fontId="2" fillId="0" borderId="0" xfId="1" applyNumberFormat="1" applyFont="1" applyAlignment="1">
      <alignment horizontal="center" vertical="center"/>
    </xf>
    <xf numFmtId="164" fontId="2" fillId="0" borderId="0" xfId="0" applyNumberFormat="1" applyFont="1" applyAlignment="1">
      <alignment horizontal="center" vertical="center"/>
    </xf>
    <xf numFmtId="0" fontId="3" fillId="0" borderId="0" xfId="0" applyFont="1" applyAlignment="1">
      <alignment horizontal="center" vertical="center"/>
    </xf>
    <xf numFmtId="0" fontId="2" fillId="0" borderId="1" xfId="0" applyFont="1" applyBorder="1" applyAlignment="1">
      <alignment horizontal="center" vertical="center"/>
    </xf>
    <xf numFmtId="10" fontId="2" fillId="0" borderId="1" xfId="1" applyNumberFormat="1" applyFont="1" applyBorder="1" applyAlignment="1">
      <alignment horizontal="center" vertical="center"/>
    </xf>
    <xf numFmtId="9" fontId="2" fillId="0" borderId="1" xfId="1" applyFont="1" applyBorder="1" applyAlignment="1">
      <alignment horizontal="center" vertical="center"/>
    </xf>
    <xf numFmtId="14" fontId="2" fillId="0" borderId="1" xfId="1" applyNumberFormat="1" applyFont="1" applyBorder="1" applyAlignment="1">
      <alignment horizontal="center" vertical="center"/>
    </xf>
    <xf numFmtId="164" fontId="2" fillId="0" borderId="1" xfId="0" applyNumberFormat="1" applyFont="1" applyBorder="1" applyAlignment="1">
      <alignment horizontal="center" vertical="center"/>
    </xf>
    <xf numFmtId="14" fontId="2" fillId="0" borderId="1" xfId="0" applyNumberFormat="1" applyFont="1" applyBorder="1" applyAlignment="1">
      <alignment horizontal="center" vertical="center"/>
    </xf>
    <xf numFmtId="0" fontId="2" fillId="4" borderId="1" xfId="0" applyFont="1" applyFill="1" applyBorder="1" applyAlignment="1">
      <alignment horizontal="center" vertical="center"/>
    </xf>
    <xf numFmtId="0" fontId="9" fillId="5" borderId="1" xfId="0" applyFont="1" applyFill="1" applyBorder="1" applyAlignment="1">
      <alignment horizontal="center" vertical="center" wrapText="1"/>
    </xf>
    <xf numFmtId="10" fontId="9" fillId="5" borderId="1" xfId="1" applyNumberFormat="1" applyFont="1" applyFill="1" applyBorder="1" applyAlignment="1">
      <alignment horizontal="center" vertical="center" wrapText="1"/>
    </xf>
    <xf numFmtId="9" fontId="9" fillId="5" borderId="1" xfId="1" applyFont="1" applyFill="1" applyBorder="1" applyAlignment="1">
      <alignment horizontal="center" vertical="center" wrapText="1"/>
    </xf>
    <xf numFmtId="14" fontId="9" fillId="5" borderId="1" xfId="1" applyNumberFormat="1" applyFont="1" applyFill="1" applyBorder="1" applyAlignment="1">
      <alignment horizontal="center" vertical="center" wrapText="1"/>
    </xf>
    <xf numFmtId="164" fontId="9" fillId="5" borderId="1" xfId="0" applyNumberFormat="1" applyFont="1" applyFill="1" applyBorder="1" applyAlignment="1">
      <alignment horizontal="center" vertical="center" wrapText="1"/>
    </xf>
    <xf numFmtId="9" fontId="6" fillId="0" borderId="0" xfId="0" quotePrefix="1" applyNumberFormat="1" applyFont="1" applyAlignment="1">
      <alignment horizontal="center" vertical="center" wrapText="1"/>
    </xf>
    <xf numFmtId="0" fontId="10" fillId="0" borderId="0" xfId="0" applyFont="1" applyAlignment="1">
      <alignment horizontal="center" vertical="center" wrapText="1"/>
    </xf>
    <xf numFmtId="0" fontId="11" fillId="7" borderId="0" xfId="0" applyFont="1" applyFill="1" applyAlignment="1">
      <alignment horizontal="center" vertical="center" wrapText="1"/>
    </xf>
    <xf numFmtId="0" fontId="12" fillId="6" borderId="0" xfId="0" applyFont="1" applyFill="1" applyAlignment="1">
      <alignment horizontal="center" vertical="center" wrapText="1"/>
    </xf>
    <xf numFmtId="0" fontId="11" fillId="6" borderId="0" xfId="0" applyFont="1" applyFill="1" applyAlignment="1">
      <alignment horizontal="center" vertical="center" wrapText="1"/>
    </xf>
    <xf numFmtId="2" fontId="13" fillId="6" borderId="0" xfId="0" quotePrefix="1" applyNumberFormat="1" applyFont="1" applyFill="1" applyAlignment="1">
      <alignment horizontal="center" vertical="center" wrapText="1"/>
    </xf>
    <xf numFmtId="9" fontId="13" fillId="6" borderId="0" xfId="0" applyNumberFormat="1" applyFont="1" applyFill="1" applyAlignment="1">
      <alignment horizontal="center" vertical="center" wrapText="1"/>
    </xf>
    <xf numFmtId="0" fontId="13" fillId="6" borderId="0" xfId="0" applyFont="1" applyFill="1" applyAlignment="1">
      <alignment horizontal="center" vertical="center" wrapText="1"/>
    </xf>
    <xf numFmtId="0" fontId="12" fillId="0" borderId="0" xfId="0" applyFont="1" applyAlignment="1">
      <alignment horizontal="center" vertical="center" wrapText="1"/>
    </xf>
    <xf numFmtId="0" fontId="11" fillId="0" borderId="0" xfId="0" applyFont="1" applyAlignment="1">
      <alignment horizontal="center" vertical="center" wrapText="1"/>
    </xf>
    <xf numFmtId="2" fontId="13" fillId="0" borderId="0" xfId="0" quotePrefix="1" applyNumberFormat="1" applyFont="1" applyAlignment="1">
      <alignment horizontal="center" vertical="center" wrapText="1"/>
    </xf>
    <xf numFmtId="9" fontId="13" fillId="0" borderId="0" xfId="0" applyNumberFormat="1" applyFont="1" applyAlignment="1">
      <alignment horizontal="center" vertical="center" wrapText="1"/>
    </xf>
    <xf numFmtId="0" fontId="13" fillId="0" borderId="0" xfId="0" applyFont="1" applyAlignment="1">
      <alignment horizontal="center" vertical="center" wrapText="1"/>
    </xf>
    <xf numFmtId="10" fontId="11" fillId="0" borderId="0" xfId="1" applyNumberFormat="1" applyFont="1" applyAlignment="1">
      <alignment horizontal="center" vertical="center" wrapText="1"/>
    </xf>
    <xf numFmtId="0" fontId="13" fillId="0" borderId="2" xfId="0" applyFont="1" applyBorder="1" applyAlignment="1">
      <alignment horizontal="center" vertical="center" wrapText="1"/>
    </xf>
    <xf numFmtId="9" fontId="11" fillId="0" borderId="0" xfId="1" applyFont="1" applyAlignment="1">
      <alignment horizontal="center" vertical="center" wrapText="1"/>
    </xf>
    <xf numFmtId="14" fontId="11" fillId="0" borderId="0" xfId="1" applyNumberFormat="1" applyFont="1" applyAlignment="1">
      <alignment horizontal="center" vertical="center" wrapText="1"/>
    </xf>
    <xf numFmtId="0" fontId="13" fillId="0" borderId="3" xfId="0" applyFont="1" applyBorder="1" applyAlignment="1">
      <alignment horizontal="center" vertical="center" wrapText="1"/>
    </xf>
    <xf numFmtId="0" fontId="11" fillId="2" borderId="0" xfId="0" applyFont="1" applyFill="1" applyAlignment="1">
      <alignment horizontal="center" vertical="center" wrapText="1"/>
    </xf>
    <xf numFmtId="10" fontId="11" fillId="0" borderId="0" xfId="0" applyNumberFormat="1" applyFont="1" applyAlignment="1">
      <alignment horizontal="center" vertical="center" wrapText="1"/>
    </xf>
    <xf numFmtId="165" fontId="11" fillId="0" borderId="0" xfId="1" applyNumberFormat="1" applyFont="1" applyAlignment="1">
      <alignment horizontal="center" vertical="center" wrapText="1"/>
    </xf>
    <xf numFmtId="165" fontId="11" fillId="0" borderId="0" xfId="1" quotePrefix="1" applyNumberFormat="1" applyFont="1" applyAlignment="1">
      <alignment horizontal="center" vertical="center" wrapText="1"/>
    </xf>
    <xf numFmtId="164" fontId="11" fillId="0" borderId="0" xfId="0" applyNumberFormat="1" applyFont="1" applyAlignment="1">
      <alignment horizontal="center" vertical="center" wrapText="1"/>
    </xf>
    <xf numFmtId="14" fontId="11" fillId="0" borderId="0" xfId="1" applyNumberFormat="1" applyFont="1" applyFill="1" applyAlignment="1">
      <alignment horizontal="center" vertical="center" wrapText="1"/>
    </xf>
    <xf numFmtId="0" fontId="14" fillId="0" borderId="0" xfId="0" applyFont="1" applyAlignment="1">
      <alignment horizontal="left" vertical="center"/>
    </xf>
    <xf numFmtId="0" fontId="15" fillId="0" borderId="0" xfId="0" applyFont="1" applyAlignment="1">
      <alignment horizontal="center" vertical="center" wrapText="1"/>
    </xf>
    <xf numFmtId="0" fontId="11" fillId="0" borderId="0" xfId="0" applyFont="1" applyAlignment="1">
      <alignment horizontal="right" vertical="center"/>
    </xf>
    <xf numFmtId="0" fontId="16" fillId="0" borderId="0" xfId="0" applyFont="1" applyAlignment="1">
      <alignment horizontal="center" vertical="center"/>
    </xf>
    <xf numFmtId="164" fontId="16" fillId="0" borderId="0" xfId="0" applyNumberFormat="1" applyFont="1" applyAlignment="1">
      <alignment horizontal="center" vertical="center"/>
    </xf>
    <xf numFmtId="14" fontId="11" fillId="3" borderId="12" xfId="1" applyNumberFormat="1" applyFont="1" applyFill="1" applyBorder="1" applyAlignment="1">
      <alignment horizontal="center" vertical="center" wrapText="1"/>
    </xf>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164" fontId="17" fillId="0" borderId="17" xfId="0" applyNumberFormat="1" applyFont="1" applyBorder="1" applyAlignment="1">
      <alignment horizontal="center" vertical="center" wrapText="1"/>
    </xf>
    <xf numFmtId="0" fontId="18" fillId="8" borderId="0" xfId="0" applyFont="1" applyFill="1" applyAlignment="1">
      <alignment horizontal="center" vertical="center" wrapText="1"/>
    </xf>
    <xf numFmtId="0" fontId="2" fillId="0" borderId="18" xfId="0" applyFont="1" applyBorder="1" applyAlignment="1">
      <alignment horizontal="center" vertical="center"/>
    </xf>
  </cellXfs>
  <cellStyles count="2">
    <cellStyle name="Normal" xfId="0" builtinId="0"/>
    <cellStyle name="Percent" xfId="1" builtinId="5"/>
  </cellStyles>
  <dxfs count="240">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numFmt numFmtId="164" formatCode="_-[$RM-4409]* #,##0.00_-;\-[$RM-4409]* #,##0.00_-;_-[$RM-4409]* &quot;-&quot;??_-;_-@_-"/>
      <alignment horizontal="center" vertical="center" textRotation="0" wrapText="0" indent="0" justifyLastLine="0" shrinkToFit="0" readingOrder="0"/>
    </dxf>
    <dxf>
      <numFmt numFmtId="164" formatCode="_-[$RM-4409]* #,##0.00_-;\-[$RM-4409]* #,##0.00_-;_-[$RM-4409]*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i val="0"/>
        <color theme="0"/>
      </font>
      <fill>
        <patternFill>
          <bgColor rgb="FFFF0000"/>
        </patternFill>
      </fill>
    </dxf>
    <dxf>
      <font>
        <b/>
        <i val="0"/>
        <color auto="1"/>
      </font>
      <fill>
        <patternFill>
          <bgColor rgb="FF00B050"/>
        </patternFill>
      </fill>
    </dxf>
    <dxf>
      <font>
        <b/>
        <i val="0"/>
        <color auto="1"/>
      </font>
      <fill>
        <patternFill>
          <bgColor rgb="FFFFC000"/>
        </patternFill>
      </fill>
    </dxf>
    <dxf>
      <font>
        <b/>
        <i val="0"/>
        <color auto="1"/>
      </font>
      <fill>
        <patternFill>
          <bgColor rgb="FFFFFF00"/>
        </patternFill>
      </fill>
    </dxf>
    <dxf>
      <font>
        <b/>
        <i val="0"/>
        <color theme="0"/>
      </font>
      <fill>
        <patternFill>
          <bgColor rgb="FFFF0000"/>
        </patternFill>
      </fill>
    </dxf>
    <dxf>
      <font>
        <b/>
        <i val="0"/>
        <color auto="1"/>
      </font>
      <fill>
        <patternFill>
          <bgColor rgb="FF00B050"/>
        </patternFill>
      </fill>
    </dxf>
    <dxf>
      <font>
        <b/>
        <i val="0"/>
        <color auto="1"/>
      </font>
      <fill>
        <patternFill>
          <bgColor rgb="FFFFC000"/>
        </patternFill>
      </fill>
    </dxf>
    <dxf>
      <font>
        <b/>
        <i val="0"/>
        <color auto="1"/>
      </font>
      <fill>
        <patternFill>
          <bgColor rgb="FFFFFF00"/>
        </patternFill>
      </fill>
    </dxf>
    <dxf>
      <font>
        <b/>
        <i val="0"/>
        <color theme="0"/>
      </font>
      <fill>
        <patternFill>
          <bgColor rgb="FFFF0000"/>
        </patternFill>
      </fill>
    </dxf>
    <dxf>
      <font>
        <b/>
        <i val="0"/>
        <color auto="1"/>
      </font>
      <fill>
        <patternFill>
          <bgColor rgb="FF00B050"/>
        </patternFill>
      </fill>
    </dxf>
    <dxf>
      <font>
        <b/>
        <i val="0"/>
        <color auto="1"/>
      </font>
      <fill>
        <patternFill>
          <bgColor rgb="FFFFC000"/>
        </patternFill>
      </fill>
    </dxf>
    <dxf>
      <font>
        <b/>
        <i val="0"/>
        <color auto="1"/>
      </font>
      <fill>
        <patternFill>
          <bgColor rgb="FFFFFF00"/>
        </patternFill>
      </fill>
    </dxf>
    <dxf>
      <font>
        <b/>
        <i val="0"/>
        <color theme="0"/>
      </font>
      <fill>
        <patternFill>
          <bgColor rgb="FFFF0000"/>
        </patternFill>
      </fill>
    </dxf>
    <dxf>
      <font>
        <b/>
        <i val="0"/>
        <color auto="1"/>
      </font>
      <fill>
        <patternFill>
          <bgColor rgb="FF00B050"/>
        </patternFill>
      </fill>
    </dxf>
    <dxf>
      <font>
        <b/>
        <i val="0"/>
        <color auto="1"/>
      </font>
      <fill>
        <patternFill>
          <bgColor rgb="FFFFC000"/>
        </patternFill>
      </fill>
    </dxf>
    <dxf>
      <font>
        <b/>
        <i val="0"/>
        <color auto="1"/>
      </font>
      <fill>
        <patternFill>
          <bgColor rgb="FFFFFF00"/>
        </patternFill>
      </fill>
    </dxf>
    <dxf>
      <font>
        <b/>
        <i val="0"/>
        <color theme="0"/>
      </font>
      <fill>
        <patternFill>
          <bgColor rgb="FFFF0000"/>
        </patternFill>
      </fill>
    </dxf>
    <dxf>
      <font>
        <b/>
        <i val="0"/>
        <color auto="1"/>
      </font>
      <fill>
        <patternFill>
          <bgColor rgb="FF00B050"/>
        </patternFill>
      </fill>
    </dxf>
    <dxf>
      <font>
        <b/>
        <i val="0"/>
        <color auto="1"/>
      </font>
      <fill>
        <patternFill>
          <bgColor rgb="FFFFC000"/>
        </patternFill>
      </fill>
    </dxf>
    <dxf>
      <font>
        <b/>
        <i val="0"/>
        <color auto="1"/>
      </font>
      <fill>
        <patternFill>
          <bgColor rgb="FFFFFF00"/>
        </patternFill>
      </fill>
    </dxf>
    <dxf>
      <font>
        <b/>
        <i val="0"/>
        <color theme="0"/>
      </font>
      <fill>
        <patternFill>
          <bgColor rgb="FFFF0000"/>
        </patternFill>
      </fill>
    </dxf>
    <dxf>
      <font>
        <b/>
        <i val="0"/>
        <color auto="1"/>
      </font>
      <fill>
        <patternFill>
          <bgColor rgb="FF00B050"/>
        </patternFill>
      </fill>
    </dxf>
    <dxf>
      <font>
        <b/>
        <i val="0"/>
        <color auto="1"/>
      </font>
      <fill>
        <patternFill>
          <bgColor rgb="FFFFC000"/>
        </patternFill>
      </fill>
    </dxf>
    <dxf>
      <font>
        <b/>
        <i val="0"/>
        <color auto="1"/>
      </font>
      <fill>
        <patternFill>
          <bgColor rgb="FFFFFF00"/>
        </patternFill>
      </fill>
    </dxf>
    <dxf>
      <fill>
        <patternFill patternType="none">
          <fgColor indexed="64"/>
          <bgColor auto="1"/>
        </patternFill>
      </fill>
    </dxf>
    <dxf>
      <numFmt numFmtId="14" formatCode="0.00%"/>
      <fill>
        <patternFill patternType="none">
          <fgColor indexed="64"/>
          <bgColor auto="1"/>
        </patternFill>
      </fill>
      <border diagonalUp="0" diagonalDown="0">
        <left style="thin">
          <color theme="0"/>
        </left>
        <right style="thin">
          <color indexed="64"/>
        </right>
        <top style="thin">
          <color theme="0"/>
        </top>
        <bottom style="thin">
          <color theme="0"/>
        </bottom>
        <vertical style="thin">
          <color theme="0"/>
        </vertical>
        <horizontal style="thin">
          <color theme="0"/>
        </horizontal>
      </border>
    </dxf>
    <dxf>
      <numFmt numFmtId="14" formatCode="0.00%"/>
      <fill>
        <patternFill patternType="none">
          <fgColor indexed="64"/>
          <bgColor auto="1"/>
        </patternFill>
      </fill>
      <border diagonalUp="0" diagonalDown="0">
        <left style="thin">
          <color indexed="64"/>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border diagonalUp="0" diagonalDown="0">
        <left style="thin">
          <color indexed="64"/>
        </left>
        <right/>
        <top/>
        <bottom/>
        <vertical/>
        <horizontal/>
      </border>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numFmt numFmtId="164" formatCode="_-[$RM-4409]* #,##0.00_-;\-[$RM-4409]* #,##0.00_-;_-[$RM-4409]* &quot;-&quot;??_-;_-@_-"/>
      <alignment horizontal="center" vertical="center" textRotation="0" wrapText="0" indent="0" justifyLastLine="0" shrinkToFit="0" readingOrder="0"/>
    </dxf>
    <dxf>
      <numFmt numFmtId="164" formatCode="_-[$RM-4409]* #,##0.00_-;\-[$RM-4409]* #,##0.00_-;_-[$RM-4409]* &quot;-&quot;??_-;_-@_-"/>
      <alignment horizontal="center" vertical="center" textRotation="0" indent="0" justifyLastLine="0" shrinkToFit="0" readingOrder="0"/>
    </dxf>
    <dxf>
      <numFmt numFmtId="164" formatCode="_-[$RM-4409]* #,##0.00_-;\-[$RM-4409]* #,##0.00_-;_-[$RM-4409]* &quot;-&quot;??_-;_-@_-"/>
      <alignment horizontal="center" vertical="center" textRotation="0" wrapText="0" indent="0" justifyLastLine="0" shrinkToFit="0" readingOrder="0"/>
    </dxf>
    <dxf>
      <numFmt numFmtId="164" formatCode="_-[$RM-4409]* #,##0.00_-;\-[$RM-4409]* #,##0.00_-;_-[$RM-4409]* &quot;-&quot;??_-;_-@_-"/>
      <alignment horizontal="center" vertical="center" textRotation="0"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9" formatCode="d/m/yyyy"/>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67" formatCode="dd/mm/yy"/>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9" formatCode="d/m/yyyy"/>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4" formatCode="0.00%"/>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numFmt numFmtId="164" formatCode="_-[$RM-4409]* #,##0.00_-;\-[$RM-4409]* #,##0.00_-;_-[$RM-4409]* &quot;-&quot;??_-;_-@_-"/>
      <alignment horizontal="center" vertical="center" textRotation="0" wrapText="0" indent="0" justifyLastLine="0" shrinkToFit="0" readingOrder="0"/>
    </dxf>
    <dxf>
      <numFmt numFmtId="164" formatCode="_-[$RM-4409]* #,##0.00_-;\-[$RM-4409]* #,##0.00_-;_-[$RM-4409]* &quot;-&quot;??_-;_-@_-"/>
      <alignment horizontal="center" vertical="center" textRotation="0" indent="0" justifyLastLine="0" shrinkToFit="0" readingOrder="0"/>
    </dxf>
    <dxf>
      <font>
        <b val="0"/>
        <i val="0"/>
        <strike val="0"/>
        <condense val="0"/>
        <extend val="0"/>
        <outline val="0"/>
        <shadow val="0"/>
        <u val="none"/>
        <vertAlign val="baseline"/>
        <sz val="11"/>
        <color auto="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numFmt numFmtId="164" formatCode="_-[$RM-4409]* #,##0.00_-;\-[$RM-4409]* #,##0.00_-;_-[$RM-4409]* &quot;-&quot;??_-;_-@_-"/>
      <alignment horizontal="center" vertical="center" textRotation="0" indent="0" justifyLastLine="0" shrinkToFit="0" readingOrder="0"/>
    </dxf>
    <dxf>
      <numFmt numFmtId="164" formatCode="_-[$RM-4409]* #,##0.00_-;\-[$RM-4409]* #,##0.00_-;_-[$RM-4409]* &quot;-&quot;??_-;_-@_-"/>
      <alignment horizontal="center" vertical="center" textRotation="0" indent="0" justifyLastLine="0" shrinkToFit="0" readingOrder="0"/>
    </dxf>
    <dxf>
      <font>
        <b val="0"/>
        <i val="0"/>
        <strike val="0"/>
        <condense val="0"/>
        <extend val="0"/>
        <outline val="0"/>
        <shadow val="0"/>
        <u val="none"/>
        <vertAlign val="baseline"/>
        <sz val="11"/>
        <color theme="1"/>
        <name val="Tahoma"/>
        <family val="2"/>
        <scheme val="none"/>
      </font>
      <numFmt numFmtId="19" formatCode="d/m/yyyy"/>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67" formatCode="dd/mm/yy"/>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9" formatCode="d/m/yyyy"/>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fill>
        <patternFill patternType="none">
          <fgColor indexed="64"/>
          <bgColor auto="1"/>
        </patternFill>
      </fill>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4" formatCode="0.00%"/>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numFmt numFmtId="164" formatCode="_-[$RM-4409]* #,##0.00_-;\-[$RM-4409]* #,##0.00_-;_-[$RM-4409]* &quot;-&quot;??_-;_-@_-"/>
      <alignment horizontal="center" vertical="center" textRotation="0" wrapText="0" indent="0" justifyLastLine="0" shrinkToFit="0" readingOrder="0"/>
    </dxf>
    <dxf>
      <numFmt numFmtId="164" formatCode="_-[$RM-4409]* #,##0.00_-;\-[$RM-4409]* #,##0.00_-;_-[$RM-4409]* &quot;-&quot;??_-;_-@_-"/>
      <alignment horizontal="center" vertical="center" textRotation="0" indent="0" justifyLastLine="0" shrinkToFit="0" readingOrder="0"/>
    </dxf>
    <dxf>
      <numFmt numFmtId="164" formatCode="_-[$RM-4409]* #,##0.00_-;\-[$RM-4409]* #,##0.00_-;_-[$RM-4409]* &quot;-&quot;??_-;_-@_-"/>
      <alignment horizontal="center" vertical="center" textRotation="0" wrapText="0" indent="0" justifyLastLine="0" shrinkToFit="0" readingOrder="0"/>
    </dxf>
    <dxf>
      <numFmt numFmtId="164" formatCode="_-[$RM-4409]* #,##0.00_-;\-[$RM-4409]* #,##0.00_-;_-[$RM-4409]* &quot;-&quot;??_-;_-@_-"/>
      <alignment horizontal="center" vertical="center" textRotation="0"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9" formatCode="d/m/yyyy"/>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9" formatCode="d/m/yyyy"/>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Tahoma"/>
        <family val="2"/>
        <scheme val="none"/>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4" formatCode="0.00%"/>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numFmt numFmtId="14" formatCode="0.00%"/>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Tahoma"/>
        <family val="2"/>
        <scheme val="none"/>
      </font>
      <alignment horizontal="center" vertical="center" textRotation="0" wrapText="1" indent="0" justifyLastLine="0" shrinkToFit="0" readingOrder="0"/>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numFmt numFmtId="164" formatCode="_-[$RM-4409]* #,##0.00_-;\-[$RM-4409]* #,##0.00_-;_-[$RM-4409]* &quot;-&quot;??_-;_-@_-"/>
      <alignment horizontal="center" vertical="center" textRotation="0" wrapText="0" indent="0" justifyLastLine="0" shrinkToFit="0" readingOrder="0"/>
    </dxf>
    <dxf>
      <font>
        <strike val="0"/>
        <outline val="0"/>
        <shadow val="0"/>
        <u val="none"/>
        <vertAlign val="baseline"/>
        <sz val="14"/>
        <name val="Tahoma"/>
        <family val="2"/>
        <scheme val="none"/>
      </font>
      <numFmt numFmtId="164" formatCode="_-[$RM-4409]* #,##0.00_-;\-[$RM-4409]* #,##0.00_-;_-[$RM-4409]* &quot;-&quot;??_-;_-@_-"/>
      <alignment horizontal="center" vertical="center" textRotation="0" indent="0" justifyLastLine="0" shrinkToFit="0" readingOrder="0"/>
    </dxf>
    <dxf>
      <font>
        <b val="0"/>
        <i val="0"/>
        <strike val="0"/>
        <condense val="0"/>
        <extend val="0"/>
        <outline val="0"/>
        <shadow val="0"/>
        <u val="none"/>
        <vertAlign val="baseline"/>
        <sz val="14"/>
        <color theme="1"/>
        <name val="Calibri"/>
        <family val="2"/>
        <scheme val="minor"/>
      </font>
      <numFmt numFmtId="164" formatCode="_-[$RM-4409]* #,##0.00_-;\-[$RM-4409]* #,##0.00_-;_-[$RM-4409]* &quot;-&quot;??_-;_-@_-"/>
      <alignment horizontal="center" vertical="center" textRotation="0" wrapText="0" indent="0" justifyLastLine="0" shrinkToFit="0" readingOrder="0"/>
    </dxf>
    <dxf>
      <font>
        <strike val="0"/>
        <outline val="0"/>
        <shadow val="0"/>
        <u val="none"/>
        <vertAlign val="baseline"/>
        <sz val="14"/>
        <name val="Tahoma"/>
        <family val="2"/>
        <scheme val="none"/>
      </font>
      <numFmt numFmtId="164" formatCode="_-[$RM-4409]* #,##0.00_-;\-[$RM-4409]* #,##0.00_-;_-[$RM-4409]* &quot;-&quot;??_-;_-@_-"/>
      <alignment horizontal="center" vertical="center" textRotation="0"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numFmt numFmtId="19" formatCode="d/m/yyyy"/>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numFmt numFmtId="167" formatCode="dd/mm/yy"/>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numFmt numFmtId="19" formatCode="d/m/yyyy"/>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auto="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auto="1"/>
        <name val="Tahoma"/>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name val="Tahoma"/>
        <family val="2"/>
        <scheme val="none"/>
      </font>
      <alignment horizontal="center" vertical="center" textRotation="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name val="Tahoma"/>
        <family val="2"/>
        <scheme val="none"/>
      </font>
      <alignment horizontal="center" vertical="center" textRotation="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name val="Tahoma"/>
        <family val="2"/>
        <scheme val="none"/>
      </font>
      <alignment horizontal="center" vertical="center" textRotation="0"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numFmt numFmtId="14" formatCode="0.00%"/>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
      <fill>
        <patternFill patternType="none">
          <fgColor indexed="64"/>
          <bgColor indexed="65"/>
        </patternFill>
      </fill>
    </dxf>
    <dxf>
      <font>
        <strike val="0"/>
        <outline val="0"/>
        <shadow val="0"/>
        <vertAlign val="baseline"/>
        <sz val="14"/>
        <family val="2"/>
      </font>
    </dxf>
    <dxf>
      <font>
        <b val="0"/>
        <i val="0"/>
        <strike val="0"/>
        <condense val="0"/>
        <extend val="0"/>
        <outline val="0"/>
        <shadow val="0"/>
        <u val="none"/>
        <vertAlign val="baseline"/>
        <sz val="14"/>
        <color rgb="FF000000"/>
        <name val="Tahoma"/>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4"/>
        <color theme="1"/>
        <name val="Tahoma"/>
        <family val="2"/>
        <scheme val="none"/>
      </font>
      <alignment horizontal="center" vertical="center" textRotation="0" wrapText="1" indent="0" justifyLastLine="0" shrinkToFit="0" readingOrder="0"/>
    </dxf>
  </dxfs>
  <tableStyles count="0" defaultTableStyle="TableStyleMedium2" defaultPivotStyle="PivotStyleLight16"/>
  <colors>
    <mruColors>
      <color rgb="FFEB85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9</xdr:col>
      <xdr:colOff>1352550</xdr:colOff>
      <xdr:row>14</xdr:row>
      <xdr:rowOff>9526</xdr:rowOff>
    </xdr:from>
    <xdr:to>
      <xdr:col>9</xdr:col>
      <xdr:colOff>3181350</xdr:colOff>
      <xdr:row>23</xdr:row>
      <xdr:rowOff>95250</xdr:rowOff>
    </xdr:to>
    <mc:AlternateContent xmlns:mc="http://schemas.openxmlformats.org/markup-compatibility/2006" xmlns:a14="http://schemas.microsoft.com/office/drawing/2010/main">
      <mc:Choice Requires="a14">
        <xdr:graphicFrame macro="">
          <xdr:nvGraphicFramePr>
            <xdr:cNvPr id="2" name="COMPANIES">
              <a:extLst>
                <a:ext uri="{FF2B5EF4-FFF2-40B4-BE49-F238E27FC236}">
                  <a16:creationId xmlns:a16="http://schemas.microsoft.com/office/drawing/2014/main" id="{F3D7B53B-B66A-8FD0-DFC6-67A0D203030D}"/>
                </a:ext>
              </a:extLst>
            </xdr:cNvPr>
            <xdr:cNvGraphicFramePr/>
          </xdr:nvGraphicFramePr>
          <xdr:xfrm>
            <a:off x="0" y="0"/>
            <a:ext cx="0" cy="0"/>
          </xdr:xfrm>
          <a:graphic>
            <a:graphicData uri="http://schemas.microsoft.com/office/drawing/2010/slicer">
              <sle:slicer xmlns:sle="http://schemas.microsoft.com/office/drawing/2010/slicer" name="COMPANIES"/>
            </a:graphicData>
          </a:graphic>
        </xdr:graphicFrame>
      </mc:Choice>
      <mc:Fallback xmlns="">
        <xdr:sp macro="" textlink="">
          <xdr:nvSpPr>
            <xdr:cNvPr id="0" name=""/>
            <xdr:cNvSpPr>
              <a:spLocks noTextEdit="1"/>
            </xdr:cNvSpPr>
          </xdr:nvSpPr>
          <xdr:spPr>
            <a:xfrm>
              <a:off x="11972925" y="2857501"/>
              <a:ext cx="1828800" cy="1800224"/>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3181350</xdr:colOff>
      <xdr:row>0</xdr:row>
      <xdr:rowOff>142875</xdr:rowOff>
    </xdr:from>
    <xdr:to>
      <xdr:col>10</xdr:col>
      <xdr:colOff>1752600</xdr:colOff>
      <xdr:row>14</xdr:row>
      <xdr:rowOff>9525</xdr:rowOff>
    </xdr:to>
    <mc:AlternateContent xmlns:mc="http://schemas.openxmlformats.org/markup-compatibility/2006" xmlns:a14="http://schemas.microsoft.com/office/drawing/2010/main">
      <mc:Choice Requires="a14">
        <xdr:graphicFrame macro="">
          <xdr:nvGraphicFramePr>
            <xdr:cNvPr id="3" name="BANK">
              <a:extLst>
                <a:ext uri="{FF2B5EF4-FFF2-40B4-BE49-F238E27FC236}">
                  <a16:creationId xmlns:a16="http://schemas.microsoft.com/office/drawing/2014/main" id="{D3914E85-346C-A4A9-71DE-B79B45B83F1B}"/>
                </a:ext>
              </a:extLst>
            </xdr:cNvPr>
            <xdr:cNvGraphicFramePr/>
          </xdr:nvGraphicFramePr>
          <xdr:xfrm>
            <a:off x="0" y="0"/>
            <a:ext cx="0" cy="0"/>
          </xdr:xfrm>
          <a:graphic>
            <a:graphicData uri="http://schemas.microsoft.com/office/drawing/2010/slicer">
              <sle:slicer xmlns:sle="http://schemas.microsoft.com/office/drawing/2010/slicer" name="BANK"/>
            </a:graphicData>
          </a:graphic>
        </xdr:graphicFrame>
      </mc:Choice>
      <mc:Fallback xmlns="">
        <xdr:sp macro="" textlink="">
          <xdr:nvSpPr>
            <xdr:cNvPr id="0" name=""/>
            <xdr:cNvSpPr>
              <a:spLocks noTextEdit="1"/>
            </xdr:cNvSpPr>
          </xdr:nvSpPr>
          <xdr:spPr>
            <a:xfrm>
              <a:off x="13801725" y="142875"/>
              <a:ext cx="1828800" cy="2524125"/>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1352550</xdr:colOff>
      <xdr:row>0</xdr:row>
      <xdr:rowOff>152400</xdr:rowOff>
    </xdr:from>
    <xdr:to>
      <xdr:col>9</xdr:col>
      <xdr:colOff>3181350</xdr:colOff>
      <xdr:row>14</xdr:row>
      <xdr:rowOff>19050</xdr:rowOff>
    </xdr:to>
    <mc:AlternateContent xmlns:mc="http://schemas.openxmlformats.org/markup-compatibility/2006" xmlns:a14="http://schemas.microsoft.com/office/drawing/2010/main">
      <mc:Choice Requires="a14">
        <xdr:graphicFrame macro="">
          <xdr:nvGraphicFramePr>
            <xdr:cNvPr id="4" name="TYPE OF FACILITY">
              <a:extLst>
                <a:ext uri="{FF2B5EF4-FFF2-40B4-BE49-F238E27FC236}">
                  <a16:creationId xmlns:a16="http://schemas.microsoft.com/office/drawing/2014/main" id="{CFDCD1B7-430B-AF32-05FE-AFC5E778A67B}"/>
                </a:ext>
              </a:extLst>
            </xdr:cNvPr>
            <xdr:cNvGraphicFramePr/>
          </xdr:nvGraphicFramePr>
          <xdr:xfrm>
            <a:off x="0" y="0"/>
            <a:ext cx="0" cy="0"/>
          </xdr:xfrm>
          <a:graphic>
            <a:graphicData uri="http://schemas.microsoft.com/office/drawing/2010/slicer">
              <sle:slicer xmlns:sle="http://schemas.microsoft.com/office/drawing/2010/slicer" name="TYPE OF FACILITY"/>
            </a:graphicData>
          </a:graphic>
        </xdr:graphicFrame>
      </mc:Choice>
      <mc:Fallback xmlns="">
        <xdr:sp macro="" textlink="">
          <xdr:nvSpPr>
            <xdr:cNvPr id="0" name=""/>
            <xdr:cNvSpPr>
              <a:spLocks noTextEdit="1"/>
            </xdr:cNvSpPr>
          </xdr:nvSpPr>
          <xdr:spPr>
            <a:xfrm>
              <a:off x="11972925" y="152400"/>
              <a:ext cx="1828800" cy="2524125"/>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ropbox\PENGURUSAN%20FASILITI\BANK%20FASILITI\SUMMARY%20FACILITIES.xlsm" TargetMode="External"/><Relationship Id="rId1" Type="http://schemas.openxmlformats.org/officeDocument/2006/relationships/externalLinkPath" Target="SUMMARY%20FACILI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DATABASE"/>
      <sheetName val="FACILITIES"/>
      <sheetName val="PROPERTY"/>
      <sheetName val="DATABASE property"/>
      <sheetName val="ENGINE"/>
      <sheetName val="SUMMARY FACILITIES"/>
    </sheetNames>
    <sheetDataSet>
      <sheetData sheetId="0"/>
      <sheetData sheetId="1"/>
      <sheetData sheetId="2"/>
      <sheetData sheetId="3"/>
      <sheetData sheetId="4"/>
      <sheetData sheetId="5"/>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MUAZ FORCE SDN BHD - NUR FARIHAH ATHIRAH BINTI ROSMADI" id="{DE62C9B1-865D-4EC6-81EF-AD68F65521BB}" userId="6a91908ffb1f23fb"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158.736436574072" createdVersion="8" refreshedVersion="6" minRefreshableVersion="3" recordCount="74" xr:uid="{00000000-000A-0000-FFFF-FFFF10000000}">
  <cacheSource type="worksheet">
    <worksheetSource name="_xlnm.Database"/>
  </cacheSource>
  <cacheFields count="16">
    <cacheField name="COMPANIES" numFmtId="0">
      <sharedItems count="17">
        <s v="MUAZ FORCE SDN BHD"/>
        <s v="MUAZ MAJU ENTERPRISE "/>
        <s v="AL BASSYASYAH ENTERPRISE"/>
        <s v="GOLDEN IZZ ENTERPRISE"/>
        <s v="ALRAZIA ENTERPRISE"/>
        <s v="AA BERKAT MAJU ENTERPRISE"/>
        <s v="MSA SINAR ENTERPRISE"/>
        <s v="RAZIA GLOBAL RESOURCES"/>
        <s v="SYAZA TRADING"/>
        <s v="AFRA SERVICES SDN BHD"/>
        <s v="FIRST ALLIED SECURITY SERVICES SDN BHD"/>
        <s v="MUAZ MAJU SDN BHD"/>
        <s v="MUAZ SERVICES SDN BHD"/>
        <s v="PATRIOT PROTECTION &amp; SECURITY SDN BHD"/>
        <s v="COMMITTED SECURITY SDN BHD"/>
        <s v="TOUGH SECURITY SDN BHD"/>
        <s v="NELANG SECURITY SDN BHD"/>
      </sharedItems>
    </cacheField>
    <cacheField name="YEAR OF APPLICATION" numFmtId="0">
      <sharedItems containsSemiMixedTypes="0" containsString="0" containsNumber="1" containsInteger="1" minValue="2022" maxValue="2023"/>
    </cacheField>
    <cacheField name="BANK" numFmtId="0">
      <sharedItems count="6">
        <s v="RHB BANK"/>
        <s v="STANDARD CHARTERED"/>
        <s v="BANK RAKYAT"/>
        <s v="MAYBANK"/>
        <s v="SME BANK"/>
        <s v="BANK ISLAM"/>
      </sharedItems>
    </cacheField>
    <cacheField name="BFR" numFmtId="10">
      <sharedItems containsSemiMixedTypes="0" containsString="0" containsNumber="1" minValue="6.6500000000000004E-2" maxValue="7.1000000000000008E-2"/>
    </cacheField>
    <cacheField name="TYPE OF FACILITY" numFmtId="0">
      <sharedItems containsBlank="1" count="9" longText="1">
        <s v="TERM LOAN"/>
        <s v="OVERDRAFT"/>
        <s v="CAPITAL FINANCING"/>
        <s v="BANK GUARANTEE"/>
        <s v="COLLABORATIVE FINANCING PROGRAM WITH TERAJU"/>
        <s v="COLLABORATIVE FINANCING PROGRAM WITH SME CORP"/>
        <s v="TARGETED RELIEF &amp; RECOVERY FACILITY"/>
        <m u="1"/>
        <s v="BANK GUARANTEE                                                                                                                                                                                                                                                                                                                                                       " u="1"/>
      </sharedItems>
    </cacheField>
    <cacheField name="NAME OF FACILITY" numFmtId="0">
      <sharedItems/>
    </cacheField>
    <cacheField name="COLLATERAL" numFmtId="0">
      <sharedItems containsBlank="1"/>
    </cacheField>
    <cacheField name="PROFIT RATE" numFmtId="0">
      <sharedItems containsBlank="1" containsMixedTypes="1" containsNumber="1" minValue="0" maxValue="7.1499999999999994E-2"/>
    </cacheField>
    <cacheField name="RATE/TENURE" numFmtId="0">
      <sharedItems containsBlank="1"/>
    </cacheField>
    <cacheField name="APPLICATION STATUS" numFmtId="0">
      <sharedItems containsBlank="1" count="6">
        <m/>
        <s v="DONE"/>
        <s v="IN PROGRESS"/>
        <s v="ON HOLD"/>
        <s v="DECLINED BY BANK"/>
        <s v="DECLINED BY COMPANY"/>
      </sharedItems>
    </cacheField>
    <cacheField name="APPLICATION DETAILS" numFmtId="0">
      <sharedItems containsBlank="1"/>
    </cacheField>
    <cacheField name="PROGRESS" numFmtId="9">
      <sharedItems containsString="0" containsBlank="1" containsNumber="1" minValue="0.1" maxValue="1"/>
    </cacheField>
    <cacheField name="DATE DOCUMENT SEND" numFmtId="14">
      <sharedItems containsNonDate="0" containsDate="1" containsString="0" containsBlank="1" minDate="2022-09-04T00:00:00" maxDate="2022-09-05T00:00:00"/>
    </cacheField>
    <cacheField name="DATE UPDATED" numFmtId="14">
      <sharedItems containsNonDate="0" containsDate="1" containsString="0" containsBlank="1" minDate="2020-09-21T00:00:00" maxDate="2023-06-16T00:00:00"/>
    </cacheField>
    <cacheField name="TOTAL REQUESTED (RM)" numFmtId="164">
      <sharedItems containsString="0" containsBlank="1" containsNumber="1" containsInteger="1" minValue="300000" maxValue="20000000"/>
    </cacheField>
    <cacheField name="TOTAL OFFERED (RM)" numFmtId="164">
      <sharedItems containsString="0" containsBlank="1" containsNumber="1" containsInteger="1" minValue="500000" maxValue="2000000"/>
    </cacheField>
  </cacheFields>
  <extLst>
    <ext xmlns:x14="http://schemas.microsoft.com/office/spreadsheetml/2009/9/main" uri="{725AE2AE-9491-48be-B2B4-4EB974FC3084}">
      <x14:pivotCacheDefinition pivotCacheId="17016879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n v="2023"/>
    <x v="0"/>
    <n v="6.7000000000000004E-2"/>
    <x v="0"/>
    <s v="BizPower Relief Financing (Prihatin)"/>
    <m/>
    <s v="BFR + 1%"/>
    <m/>
    <x v="0"/>
    <m/>
    <m/>
    <m/>
    <m/>
    <m/>
    <m/>
  </r>
  <r>
    <x v="1"/>
    <n v="2023"/>
    <x v="0"/>
    <n v="6.7000000000000004E-2"/>
    <x v="0"/>
    <s v="BizPower Relief Financing (Prihatin)"/>
    <m/>
    <s v="BFR + 1%"/>
    <m/>
    <x v="0"/>
    <m/>
    <m/>
    <m/>
    <m/>
    <m/>
    <m/>
  </r>
  <r>
    <x v="2"/>
    <n v="2023"/>
    <x v="0"/>
    <n v="6.7000000000000004E-2"/>
    <x v="0"/>
    <s v="BizPower Relief Financing (Prihatin)"/>
    <m/>
    <s v="BFR + 1%"/>
    <m/>
    <x v="0"/>
    <m/>
    <m/>
    <m/>
    <m/>
    <m/>
    <m/>
  </r>
  <r>
    <x v="3"/>
    <n v="2023"/>
    <x v="0"/>
    <n v="6.7000000000000004E-2"/>
    <x v="0"/>
    <s v="BizPower Relief Financing (Prihatin)"/>
    <m/>
    <s v="BFR + 1%"/>
    <m/>
    <x v="0"/>
    <m/>
    <m/>
    <m/>
    <m/>
    <m/>
    <m/>
  </r>
  <r>
    <x v="4"/>
    <n v="2023"/>
    <x v="0"/>
    <n v="6.7000000000000004E-2"/>
    <x v="0"/>
    <s v="BizPower Relief Financing (Prihatin)"/>
    <m/>
    <s v="BFR + 1%"/>
    <m/>
    <x v="0"/>
    <m/>
    <m/>
    <m/>
    <m/>
    <m/>
    <m/>
  </r>
  <r>
    <x v="5"/>
    <n v="2023"/>
    <x v="0"/>
    <n v="6.7000000000000004E-2"/>
    <x v="0"/>
    <s v="BizPower Relief Financing (Prihatin)"/>
    <m/>
    <s v="BFR + 1%"/>
    <m/>
    <x v="0"/>
    <m/>
    <m/>
    <m/>
    <m/>
    <m/>
    <m/>
  </r>
  <r>
    <x v="6"/>
    <n v="2023"/>
    <x v="0"/>
    <n v="6.7000000000000004E-2"/>
    <x v="0"/>
    <s v="BizPower Relief Financing (Prihatin)"/>
    <m/>
    <s v="BFR + 1%"/>
    <m/>
    <x v="0"/>
    <m/>
    <m/>
    <m/>
    <m/>
    <m/>
    <m/>
  </r>
  <r>
    <x v="7"/>
    <n v="2023"/>
    <x v="0"/>
    <n v="6.7000000000000004E-2"/>
    <x v="0"/>
    <s v="BizPower Relief Financing (Prihatin)"/>
    <m/>
    <s v="BFR + 1%"/>
    <m/>
    <x v="0"/>
    <m/>
    <m/>
    <m/>
    <m/>
    <m/>
    <m/>
  </r>
  <r>
    <x v="8"/>
    <n v="2023"/>
    <x v="0"/>
    <n v="6.7000000000000004E-2"/>
    <x v="0"/>
    <s v="BizPower Relief Financing (Prihatin)"/>
    <m/>
    <s v="BFR + 1%"/>
    <m/>
    <x v="0"/>
    <m/>
    <m/>
    <m/>
    <m/>
    <m/>
    <m/>
  </r>
  <r>
    <x v="0"/>
    <n v="2022"/>
    <x v="1"/>
    <n v="6.7000000000000004E-2"/>
    <x v="0"/>
    <s v="PEMULIH GOVERNMENT GUARANTEE SCHEME"/>
    <s v="20% FD (RM400,000)_x000a_80% SJPP (RM1,600,000)"/>
    <n v="4.1599999999999998E-2"/>
    <s v="7 YEARS"/>
    <x v="1"/>
    <s v="DISBURSED &amp; READY TO USE"/>
    <n v="1"/>
    <m/>
    <d v="2022-11-06T00:00:00"/>
    <n v="2000000"/>
    <n v="2000000"/>
  </r>
  <r>
    <x v="9"/>
    <n v="2022"/>
    <x v="2"/>
    <n v="6.83E-2"/>
    <x v="1"/>
    <s v="OPEN CASH LINE-I FINANCING FACILITY"/>
    <s v="20% FD (RM160,000)_x000a_80% SJPP (RM640,000)"/>
    <s v="BFR + 0.5%"/>
    <s v="MONTHLY / 5 YEARS"/>
    <x v="1"/>
    <s v="DISBURSED &amp; READY TO USE"/>
    <n v="1"/>
    <m/>
    <d v="2020-09-21T00:00:00"/>
    <n v="800000"/>
    <n v="800000"/>
  </r>
  <r>
    <x v="10"/>
    <n v="2022"/>
    <x v="2"/>
    <n v="6.83E-2"/>
    <x v="1"/>
    <s v="OPEN CASH LINE-I FINANCING FACILITY"/>
    <s v="20% FD (RM200,000)_x000a_80% SJPP (RM800,000)"/>
    <s v="BFR + 0.5%"/>
    <s v="MONTHLY / 5 YEARS"/>
    <x v="1"/>
    <s v="DISBURSED &amp; READY TO USE"/>
    <n v="1"/>
    <m/>
    <d v="2020-09-21T00:00:00"/>
    <n v="500000"/>
    <n v="500000"/>
  </r>
  <r>
    <x v="10"/>
    <n v="2022"/>
    <x v="2"/>
    <n v="6.83E-2"/>
    <x v="2"/>
    <s v="WORKING CAPITAL FINANCING-I FACILITY"/>
    <s v="COMBINE WITH OVERDRAFT"/>
    <s v="BFR + 0.5%"/>
    <s v="MONTHLY / 5 YEARS"/>
    <x v="1"/>
    <s v="DISBURSED &amp; READY TO USE"/>
    <n v="1"/>
    <m/>
    <d v="2020-09-21T00:00:00"/>
    <n v="500000"/>
    <n v="500000"/>
  </r>
  <r>
    <x v="10"/>
    <n v="2022"/>
    <x v="3"/>
    <n v="6.6500000000000004E-2"/>
    <x v="1"/>
    <s v="CM CASH LINE-i"/>
    <m/>
    <n v="7.1499999999999994E-2"/>
    <s v="10 YEARS"/>
    <x v="1"/>
    <s v="DISBURSED &amp; READY TO USE"/>
    <n v="1"/>
    <d v="2022-09-04T00:00:00"/>
    <d v="2023-06-15T00:00:00"/>
    <n v="1000000"/>
    <n v="500000"/>
  </r>
  <r>
    <x v="0"/>
    <n v="2022"/>
    <x v="2"/>
    <n v="6.83E-2"/>
    <x v="1"/>
    <s v="WORKING CAPITAL FINANCING-I FACILITY"/>
    <s v="FD RM300,000.00_x000a_SINKING FUND RM300,000.00 (COMMENCE AFTER 3 MONTHS)_x000a_SJPP RM2,400,000.00"/>
    <s v="BFR + 1.08%"/>
    <s v="120 DAYS FOR EVERY DISBURSEMENT (REVOLVING) WITH MAX FACILITY TENURE OF 5 YEARS"/>
    <x v="1"/>
    <s v="DISBURSED &amp; READY TO USE"/>
    <n v="1"/>
    <m/>
    <d v="2022-11-06T00:00:00"/>
    <n v="3000000"/>
    <n v="2000000"/>
  </r>
  <r>
    <x v="0"/>
    <n v="2022"/>
    <x v="2"/>
    <n v="6.83E-2"/>
    <x v="3"/>
    <s v="BANK GUARANTEE-I FACILITY"/>
    <s v="10% SECURITY MARGIN TO BE COLLECTED UPON ISSUANCE OF BG-i"/>
    <s v="COMMISSION OF 0.1%/MONTHS OR PART THEREOF PAYABLE UPFRONT ON THE AMAOUNT GUARANTEED"/>
    <s v="UP TO 12 MONTHS AND TO BE ACCORDANCE WITH THE CONTRACT PERIOD / ANY RELEVANT CONTRACT DOCUMENTS AND EXPIRY DATES WITH MAXIMUM TENURE 5 YEARS"/>
    <x v="2"/>
    <s v="IN PROGRESS TO DISBURSE"/>
    <n v="0.9"/>
    <m/>
    <d v="2022-11-06T00:00:00"/>
    <n v="3000000"/>
    <n v="1000000"/>
  </r>
  <r>
    <x v="11"/>
    <n v="2022"/>
    <x v="2"/>
    <n v="6.83E-2"/>
    <x v="1"/>
    <s v="OPEN CASH LINE-I FINANCING FACILITY"/>
    <s v="20% FD (RM200,000)_x000a_80% SJPP (RM800,000)"/>
    <s v="BFR + 0.5%"/>
    <s v="MONTHLY / 5 YEARS"/>
    <x v="2"/>
    <s v="REPLYING INQUIRY"/>
    <n v="0.5"/>
    <m/>
    <d v="2022-08-14T00:00:00"/>
    <n v="1000000"/>
    <m/>
  </r>
  <r>
    <x v="11"/>
    <n v="2022"/>
    <x v="3"/>
    <n v="6.6500000000000004E-2"/>
    <x v="1"/>
    <s v="CM CASH LINE-i"/>
    <m/>
    <s v="BFR + 1% @ 2%"/>
    <s v="MAX 10 YEARS"/>
    <x v="2"/>
    <s v="DOCUMENT SEND"/>
    <n v="0.2"/>
    <d v="2022-09-04T00:00:00"/>
    <d v="2022-09-04T00:00:00"/>
    <n v="1000000"/>
    <m/>
  </r>
  <r>
    <x v="12"/>
    <n v="2022"/>
    <x v="3"/>
    <n v="6.6500000000000004E-2"/>
    <x v="1"/>
    <s v="CM CASH LINE-i"/>
    <m/>
    <s v="BFR + 1% @ 2%"/>
    <s v="MAX 10 YEARS"/>
    <x v="2"/>
    <s v="DOCUMENT SEND"/>
    <n v="0.2"/>
    <d v="2022-09-04T00:00:00"/>
    <d v="2022-09-04T00:00:00"/>
    <n v="1000000"/>
    <m/>
  </r>
  <r>
    <x v="5"/>
    <n v="2022"/>
    <x v="3"/>
    <n v="6.6500000000000004E-2"/>
    <x v="1"/>
    <s v="CM CASH LINE-i"/>
    <m/>
    <s v="BFR + 1% @ 2%"/>
    <s v="MAX 10 YEARS"/>
    <x v="2"/>
    <s v="DOCUMENT SEND"/>
    <n v="0.2"/>
    <d v="2022-09-04T00:00:00"/>
    <d v="2022-09-04T00:00:00"/>
    <n v="1000000"/>
    <m/>
  </r>
  <r>
    <x v="2"/>
    <n v="2022"/>
    <x v="3"/>
    <n v="6.6500000000000004E-2"/>
    <x v="1"/>
    <s v="CM CASH LINE-i"/>
    <m/>
    <s v="BFR + 1% @ 2%"/>
    <s v="MAX 10 YEARS"/>
    <x v="2"/>
    <s v="DOCUMENT SEND"/>
    <n v="0.2"/>
    <d v="2022-09-04T00:00:00"/>
    <d v="2022-09-04T00:00:00"/>
    <n v="1000000"/>
    <m/>
  </r>
  <r>
    <x v="6"/>
    <n v="2022"/>
    <x v="3"/>
    <n v="6.6500000000000004E-2"/>
    <x v="1"/>
    <s v="CM CASH LINE-i"/>
    <m/>
    <s v="BFR + 1% @ 2%"/>
    <s v="MAX 10 YEARS"/>
    <x v="2"/>
    <s v="DOCUMENT SEND"/>
    <n v="0.2"/>
    <d v="2022-09-04T00:00:00"/>
    <d v="2022-09-04T00:00:00"/>
    <n v="1000000"/>
    <m/>
  </r>
  <r>
    <x v="8"/>
    <n v="2022"/>
    <x v="3"/>
    <n v="6.6500000000000004E-2"/>
    <x v="1"/>
    <s v="CM CASH LINE-i"/>
    <m/>
    <s v="BFR + 1% @ 2%"/>
    <s v="MAX 10 YEARS"/>
    <x v="2"/>
    <s v="DOCUMENT SEND"/>
    <n v="0.2"/>
    <d v="2022-09-04T00:00:00"/>
    <d v="2022-09-04T00:00:00"/>
    <n v="1000000"/>
    <m/>
  </r>
  <r>
    <x v="7"/>
    <n v="2022"/>
    <x v="3"/>
    <n v="6.6500000000000004E-2"/>
    <x v="1"/>
    <s v="CM CASH LINE-i"/>
    <m/>
    <s v="BFR + 1% @ 2%"/>
    <s v="MAX 10 YEARS"/>
    <x v="2"/>
    <s v="DOCUMENT SEND"/>
    <n v="0.2"/>
    <d v="2022-09-04T00:00:00"/>
    <d v="2022-09-04T00:00:00"/>
    <n v="1000000"/>
    <m/>
  </r>
  <r>
    <x v="10"/>
    <n v="2022"/>
    <x v="4"/>
    <n v="7.1000000000000008E-2"/>
    <x v="4"/>
    <s v="BUMIPUTERA SUPPLY CHAIN (BSC)"/>
    <s v="1. 15% security margin (reimbursement grant)_x000a_2. Any other collateral or guarantee scheme acceptable to the Bank"/>
    <s v="BFR+ 1.5%"/>
    <s v="UP TO 7 YEARS"/>
    <x v="2"/>
    <s v="DOCUMENT SEND"/>
    <n v="0.2"/>
    <d v="2022-09-04T00:00:00"/>
    <d v="2022-09-04T00:00:00"/>
    <n v="1000000"/>
    <m/>
  </r>
  <r>
    <x v="10"/>
    <n v="2022"/>
    <x v="4"/>
    <n v="7.1000000000000008E-2"/>
    <x v="5"/>
    <s v="BUSINESS ACCELERATOR PROGRAM (BAP)"/>
    <s v="1. Fixed asset to be financed_x000a_2. Minimum 10% cash collateral for working capital financing_x000a_3. Joint and several guarantees of directors/shareholders"/>
    <n v="0.04"/>
    <s v="5 YEARS"/>
    <x v="2"/>
    <s v="DOCUMENT SEND"/>
    <n v="0.2"/>
    <d v="2022-09-04T00:00:00"/>
    <d v="2022-09-04T00:00:00"/>
    <n v="1000000"/>
    <m/>
  </r>
  <r>
    <x v="10"/>
    <n v="2022"/>
    <x v="4"/>
    <n v="7.1000000000000008E-2"/>
    <x v="0"/>
    <s v="COMMODITY MURABAHAH TERM FINANCING-I (CMTF-i)"/>
    <s v="The bank will evaluate  the requirement for collateral and/or guarantor"/>
    <s v="BFR+ 1.5%"/>
    <s v="5 YEARS"/>
    <x v="2"/>
    <s v="DOCUMENT SEND"/>
    <n v="0.2"/>
    <d v="2022-09-04T00:00:00"/>
    <d v="2022-09-04T00:00:00"/>
    <n v="10000000"/>
    <m/>
  </r>
  <r>
    <x v="10"/>
    <n v="2022"/>
    <x v="4"/>
    <n v="7.1000000000000008E-2"/>
    <x v="1"/>
    <s v="PEMULIH GOVERNMENT GUARANTEE SCHEME"/>
    <s v="80% SJPP"/>
    <s v="BFR+ 1.0%"/>
    <s v="UP TO 12 YEARS"/>
    <x v="2"/>
    <s v="DOCUMENT SEND"/>
    <n v="0.2"/>
    <d v="2022-09-04T00:00:00"/>
    <d v="2022-09-04T00:00:00"/>
    <n v="20000000"/>
    <m/>
  </r>
  <r>
    <x v="13"/>
    <n v="2022"/>
    <x v="3"/>
    <n v="6.6500000000000004E-2"/>
    <x v="1"/>
    <s v="CM CASH LINE-i"/>
    <m/>
    <s v="BFR + 1% @ 2%"/>
    <s v="MAX 10 YEARS"/>
    <x v="3"/>
    <s v="PENDING DOCS SUBMISSION (DIRECTOR CONSENT FORM SIGNATURE)"/>
    <n v="0.1"/>
    <m/>
    <d v="2022-08-29T00:00:00"/>
    <n v="1000000"/>
    <m/>
  </r>
  <r>
    <x v="3"/>
    <n v="2022"/>
    <x v="3"/>
    <n v="6.6500000000000004E-2"/>
    <x v="1"/>
    <s v="CM CASH LINE-i"/>
    <m/>
    <s v="BFR + 1% @ 2%"/>
    <s v="MAX 10 YEARS"/>
    <x v="3"/>
    <s v="PENDING DOCS SUBMISSION (DIRECTOR CONSENT FORM SIGNATURE)"/>
    <n v="0.1"/>
    <m/>
    <d v="2022-08-29T00:00:00"/>
    <n v="1000000"/>
    <m/>
  </r>
  <r>
    <x v="14"/>
    <n v="2022"/>
    <x v="3"/>
    <n v="6.6500000000000004E-2"/>
    <x v="1"/>
    <s v="CM CASH LINE-i"/>
    <m/>
    <s v="BFR + 1% @ 2%"/>
    <s v="MAX 10 YEARS"/>
    <x v="3"/>
    <s v="PENDING DOCS SUBMISSION (DIRECTOR CONSENT FORM SIGNATURE)"/>
    <n v="0.1"/>
    <m/>
    <d v="2022-08-29T00:00:00"/>
    <n v="1000000"/>
    <m/>
  </r>
  <r>
    <x v="15"/>
    <n v="2022"/>
    <x v="3"/>
    <n v="6.6500000000000004E-2"/>
    <x v="1"/>
    <s v="CM CASH LINE-i"/>
    <m/>
    <s v="BFR + 1% @ 2%"/>
    <s v="MAX 10 YEARS"/>
    <x v="3"/>
    <s v="PENDING DOCS SUBMISSION (DIRECTOR CONSENT FORM SIGNATURE)"/>
    <n v="0.1"/>
    <m/>
    <d v="2022-08-29T00:00:00"/>
    <n v="1000000"/>
    <m/>
  </r>
  <r>
    <x v="9"/>
    <n v="2022"/>
    <x v="4"/>
    <n v="7.1000000000000008E-2"/>
    <x v="4"/>
    <s v="BUMIPUTERA SUPPLY CHAIN (BSC)"/>
    <s v="1. 15% security margin (reimbursement grant)_x000a_2. Any other collateral or guarantee scheme acceptable to the Bank"/>
    <s v="BFR+ 1.5%"/>
    <s v="UP TO 7 YEARS"/>
    <x v="3"/>
    <s v="PENDING DOCS SUBMISSION (AUTHORISED SIGNATURE)"/>
    <n v="0.1"/>
    <m/>
    <d v="2022-08-25T00:00:00"/>
    <n v="1000000"/>
    <m/>
  </r>
  <r>
    <x v="9"/>
    <n v="2022"/>
    <x v="4"/>
    <n v="7.1000000000000008E-2"/>
    <x v="5"/>
    <s v="BUSINESS ACCELERATOR PROGRAM (BAP)"/>
    <s v="1. Fixed asset to be financed_x000a_2. Minimum 10% cash collateral for working capital financing_x000a_3. Joint and several guarantees of directors/shareholders"/>
    <n v="0.04"/>
    <s v="5 YEARS"/>
    <x v="3"/>
    <s v="PENDING DOCS SUBMISSION (AUTHORISED SIGNATURE)"/>
    <n v="0.1"/>
    <m/>
    <d v="2022-08-25T00:00:00"/>
    <n v="1000000"/>
    <m/>
  </r>
  <r>
    <x v="9"/>
    <n v="2022"/>
    <x v="4"/>
    <n v="7.1000000000000008E-2"/>
    <x v="0"/>
    <s v="COMMODITY MURABAHAH TERM FINANCING-I (CMTF-i)"/>
    <s v="The bank will evaluate  the requirement for collateral and/or guarantor"/>
    <s v="BFR+ 1.5%"/>
    <s v="5 YEARS"/>
    <x v="3"/>
    <s v="PENDING DOCS SUBMISSION (AUTHORISED SIGNATURE)"/>
    <n v="0.1"/>
    <m/>
    <d v="2022-08-25T00:00:00"/>
    <n v="10000000"/>
    <m/>
  </r>
  <r>
    <x v="9"/>
    <n v="2022"/>
    <x v="4"/>
    <n v="7.1000000000000008E-2"/>
    <x v="1"/>
    <s v="PEMULIH GOVERNMENT GUARANTEE SCHEME"/>
    <s v="80% SJPP"/>
    <s v="BFR+ 1.0%"/>
    <s v="UP TO 12 YEARS"/>
    <x v="3"/>
    <s v="PENDING DOCS SUBMISSION (AUTHORISED SIGNATURE)"/>
    <n v="0.1"/>
    <m/>
    <d v="2022-08-25T00:00:00"/>
    <n v="20000000"/>
    <m/>
  </r>
  <r>
    <x v="16"/>
    <n v="2022"/>
    <x v="4"/>
    <n v="7.1000000000000008E-2"/>
    <x v="4"/>
    <s v="BUMIPUTERA SUPPLY CHAIN (BSC)"/>
    <s v="1. 15% security margin (reimbursement grant)_x000a_2. Any other collateral or guarantee scheme acceptable to the Bank"/>
    <s v="BFR+ 1.5%"/>
    <s v="UP TO 7 YEARS"/>
    <x v="3"/>
    <s v="PENDING DOCS SUBMISSION (AUTHORISED SIGNATURE)"/>
    <n v="0.1"/>
    <m/>
    <d v="2022-08-25T00:00:00"/>
    <n v="1000000"/>
    <m/>
  </r>
  <r>
    <x v="16"/>
    <n v="2022"/>
    <x v="4"/>
    <n v="7.1000000000000008E-2"/>
    <x v="5"/>
    <s v="BUSINESS ACCELERATOR PROGRAM (BAP)"/>
    <s v="1. Fixed asset to be financed_x000a_2. Minimum 10% cash collateral for working capital financing_x000a_3. Joint and several guarantees of directors/shareholders"/>
    <n v="0.04"/>
    <s v="5 YEARS"/>
    <x v="3"/>
    <s v="PENDING DOCS SUBMISSION (AUTHORISED SIGNATURE)"/>
    <n v="0.1"/>
    <m/>
    <d v="2022-08-25T00:00:00"/>
    <n v="1000000"/>
    <m/>
  </r>
  <r>
    <x v="16"/>
    <n v="2022"/>
    <x v="4"/>
    <n v="7.1000000000000008E-2"/>
    <x v="0"/>
    <s v="COMMODITY MURABAHAH TERM FINANCING-I (CMTF-i)"/>
    <s v="The bank will evaluate  the requirement for collateral and/or guarantor"/>
    <s v="BFR+ 1.5%"/>
    <s v="5 YEARS"/>
    <x v="3"/>
    <s v="PENDING DOCS SUBMISSION (AUTHORISED SIGNATURE)"/>
    <n v="0.1"/>
    <m/>
    <d v="2022-08-25T00:00:00"/>
    <n v="10000000"/>
    <m/>
  </r>
  <r>
    <x v="16"/>
    <n v="2022"/>
    <x v="4"/>
    <n v="7.1000000000000008E-2"/>
    <x v="1"/>
    <s v="PEMULIH GOVERNMENT GUARANTEE SCHEME"/>
    <s v="80% SJPP"/>
    <s v="BFR+ 1.0%"/>
    <s v="UP TO 12 YEARS"/>
    <x v="3"/>
    <s v="PENDING DOCS SUBMISSION (AUTHORISED SIGNATURE)"/>
    <n v="0.1"/>
    <m/>
    <d v="2022-08-25T00:00:00"/>
    <n v="20000000"/>
    <m/>
  </r>
  <r>
    <x v="14"/>
    <n v="2022"/>
    <x v="4"/>
    <n v="7.1000000000000008E-2"/>
    <x v="4"/>
    <s v="BUMIPUTERA SUPPLY CHAIN (BSC)"/>
    <s v="1. 15% security margin (reimbursement grant)_x000a_2. Any other collateral or guarantee scheme acceptable to the Bank"/>
    <s v="BFR+ 1.5%"/>
    <s v="UP TO 7 YEARS"/>
    <x v="3"/>
    <s v="PENDING DOCS SUBMISSION (AUTHORISED SIGNATURE)"/>
    <n v="0.1"/>
    <m/>
    <d v="2022-08-25T00:00:00"/>
    <n v="1000000"/>
    <m/>
  </r>
  <r>
    <x v="14"/>
    <n v="2022"/>
    <x v="4"/>
    <n v="7.1000000000000008E-2"/>
    <x v="5"/>
    <s v="BUSINESS ACCELERATOR PROGRAM (BAP)"/>
    <s v="1. Fixed asset to be financed_x000a_2. Minimum 10% cash collateral for working capital financing_x000a_3. Joint and several guarantees of directors/shareholders"/>
    <n v="0.04"/>
    <s v="5 YEARS"/>
    <x v="3"/>
    <s v="PENDING DOCS SUBMISSION (AUTHORISED SIGNATURE)"/>
    <n v="0.1"/>
    <m/>
    <d v="2022-08-25T00:00:00"/>
    <n v="1000000"/>
    <m/>
  </r>
  <r>
    <x v="14"/>
    <n v="2022"/>
    <x v="4"/>
    <n v="7.1000000000000008E-2"/>
    <x v="0"/>
    <s v="COMMODITY MURABAHAH TERM FINANCING-I (CMTF-i)"/>
    <s v="The bank will evaluate  the requirement for collateral and/or guarantor"/>
    <s v="BFR+ 1.5%"/>
    <s v="5 YEARS"/>
    <x v="3"/>
    <s v="PENDING DOCS SUBMISSION (AUTHORISED SIGNATURE)"/>
    <n v="0.1"/>
    <m/>
    <d v="2022-08-25T00:00:00"/>
    <n v="10000000"/>
    <m/>
  </r>
  <r>
    <x v="14"/>
    <n v="2022"/>
    <x v="4"/>
    <n v="7.1000000000000008E-2"/>
    <x v="1"/>
    <s v="PEMULIH GOVERNMENT GUARANTEE SCHEME"/>
    <s v="80% SJPP"/>
    <s v="BFR+ 1.0%"/>
    <s v="UP TO 12 YEARS"/>
    <x v="3"/>
    <s v="PENDING DOCS SUBMISSION (AUTHORISED SIGNATURE)"/>
    <n v="0.1"/>
    <m/>
    <d v="2022-08-25T00:00:00"/>
    <n v="20000000"/>
    <m/>
  </r>
  <r>
    <x v="15"/>
    <n v="2022"/>
    <x v="4"/>
    <n v="7.1000000000000008E-2"/>
    <x v="4"/>
    <s v="BUMIPUTERA SUPPLY CHAIN (BSC)"/>
    <s v="1. 15% security margin (reimbursement grant)_x000a_2. Any other collateral or guarantee scheme acceptable to the Bank"/>
    <s v="BFR+ 1.5%"/>
    <s v="UP TO 7 YEARS"/>
    <x v="3"/>
    <s v="PENDING DOCS SUBMISSION (AUTHORISED SIGNATURE)"/>
    <n v="0.1"/>
    <m/>
    <d v="2022-08-25T00:00:00"/>
    <n v="1000000"/>
    <m/>
  </r>
  <r>
    <x v="15"/>
    <n v="2022"/>
    <x v="4"/>
    <n v="7.1000000000000008E-2"/>
    <x v="5"/>
    <s v="BUSINESS ACCELERATOR PROGRAM (BAP)"/>
    <s v="1. Fixed asset to be financed_x000a_2. Minimum 10% cash collateral for working capital financing_x000a_3. Joint and several guarantees of directors/shareholders"/>
    <n v="0.04"/>
    <s v="5 YEARS"/>
    <x v="3"/>
    <s v="PENDING DOCS SUBMISSION (AUTHORISED SIGNATURE)"/>
    <n v="0.1"/>
    <m/>
    <d v="2022-08-25T00:00:00"/>
    <n v="1000000"/>
    <m/>
  </r>
  <r>
    <x v="15"/>
    <n v="2022"/>
    <x v="4"/>
    <n v="7.1000000000000008E-2"/>
    <x v="0"/>
    <s v="COMMODITY MURABAHAH TERM FINANCING-I (CMTF-i)"/>
    <s v="The bank will evaluate  the requirement for collateral and/or guarantor"/>
    <s v="BFR+ 1.5%"/>
    <s v="5 YEARS"/>
    <x v="3"/>
    <s v="PENDING DOCS SUBMISSION (AUTHORISED SIGNATURE)"/>
    <n v="0.1"/>
    <m/>
    <d v="2022-08-25T00:00:00"/>
    <n v="10000000"/>
    <m/>
  </r>
  <r>
    <x v="15"/>
    <n v="2022"/>
    <x v="4"/>
    <n v="7.1000000000000008E-2"/>
    <x v="1"/>
    <s v="PEMULIH GOVERNMENT GUARANTEE SCHEME"/>
    <s v="80% SJPP"/>
    <s v="BFR+ 1.0%"/>
    <s v="UP TO 12 YEARS"/>
    <x v="3"/>
    <s v="PENDING DOCS SUBMISSION (AUTHORISED SIGNATURE)"/>
    <n v="0.1"/>
    <m/>
    <d v="2022-08-25T00:00:00"/>
    <n v="20000000"/>
    <m/>
  </r>
  <r>
    <x v="0"/>
    <n v="2022"/>
    <x v="4"/>
    <n v="7.1000000000000008E-2"/>
    <x v="4"/>
    <s v="BUMIPUTERA SUPPLY CHAIN (BSC)"/>
    <s v="1. 15% security margin (reimbursement grant)_x000a_2. Any other collateral or guarantee scheme acceptable to the Bank"/>
    <s v="BFR+ 1.5%"/>
    <s v="UP TO 7 YEARS"/>
    <x v="3"/>
    <s v="PENDING DOCS SUBMISSION (AUTHORISED SIGNATURE)"/>
    <n v="0.1"/>
    <m/>
    <d v="2022-08-25T00:00:00"/>
    <n v="1000000"/>
    <m/>
  </r>
  <r>
    <x v="0"/>
    <n v="2022"/>
    <x v="4"/>
    <n v="7.1000000000000008E-2"/>
    <x v="5"/>
    <s v="BUSINESS ACCELERATOR PROGRAM (BAP)"/>
    <s v="1. Fixed asset to be financed_x000a_2. Minimum 10% cash collateral for working capital financing_x000a_3. Joint and several guarantees of directors/shareholders"/>
    <n v="0.04"/>
    <s v="5 YEARS"/>
    <x v="3"/>
    <s v="PENDING DOCS SUBMISSION (AUTHORISED SIGNATURE)"/>
    <n v="0.1"/>
    <m/>
    <d v="2022-08-25T00:00:00"/>
    <n v="1000000"/>
    <m/>
  </r>
  <r>
    <x v="0"/>
    <n v="2022"/>
    <x v="4"/>
    <n v="7.1000000000000008E-2"/>
    <x v="0"/>
    <s v="COMMODITY MURABAHAH TERM FINANCING-I (CMTF-i)"/>
    <s v="The bank will evaluate  the requirement for collateral and/or guarantor"/>
    <s v="BFR+ 1.5%"/>
    <s v="5 YEARS"/>
    <x v="3"/>
    <s v="PENDING DOCS SUBMISSION (AUTHORISED SIGNATURE)"/>
    <n v="0.1"/>
    <m/>
    <d v="2022-08-25T00:00:00"/>
    <n v="10000000"/>
    <m/>
  </r>
  <r>
    <x v="0"/>
    <n v="2022"/>
    <x v="4"/>
    <n v="7.1000000000000008E-2"/>
    <x v="1"/>
    <s v="PEMULIH GOVERNMENT GUARANTEE SCHEME"/>
    <s v="80% SJPP"/>
    <s v="BFR+ 1.0%"/>
    <s v="UP TO 12 YEARS"/>
    <x v="3"/>
    <s v="PENDING DOCS SUBMISSION (AUTHORISED SIGNATURE)"/>
    <n v="0.1"/>
    <m/>
    <d v="2022-08-25T00:00:00"/>
    <n v="20000000"/>
    <m/>
  </r>
  <r>
    <x v="13"/>
    <n v="2022"/>
    <x v="4"/>
    <n v="7.1000000000000008E-2"/>
    <x v="4"/>
    <s v="BUMIPUTERA SUPPLY CHAIN (BSC)"/>
    <s v="1. 15% security margin (reimbursement grant)_x000a_2. Any other collateral or guarantee scheme acceptable to the Bank"/>
    <s v="BFR+ 1.5%"/>
    <s v="UP TO 7 YEARS"/>
    <x v="3"/>
    <s v="PENDING DOCS SUBMISSION (AUTHORISED SIGNATURE)"/>
    <n v="0.1"/>
    <m/>
    <d v="2022-08-25T00:00:00"/>
    <n v="1000000"/>
    <m/>
  </r>
  <r>
    <x v="13"/>
    <n v="2022"/>
    <x v="4"/>
    <n v="7.1000000000000008E-2"/>
    <x v="5"/>
    <s v="BUSINESS ACCELERATOR PROGRAM (BAP)"/>
    <s v="1. Fixed asset to be financed_x000a_2. Minimum 10% cash collateral for working capital financing_x000a_3. Joint and several guarantees of directors/shareholders"/>
    <n v="0.04"/>
    <s v="5 YEARS"/>
    <x v="3"/>
    <s v="PENDING DOCS SUBMISSION (AUTHORISED SIGNATURE)"/>
    <n v="0.1"/>
    <m/>
    <d v="2022-08-25T00:00:00"/>
    <n v="1000000"/>
    <m/>
  </r>
  <r>
    <x v="13"/>
    <n v="2022"/>
    <x v="4"/>
    <n v="7.1000000000000008E-2"/>
    <x v="0"/>
    <s v="COMMODITY MURABAHAH TERM FINANCING-I (CMTF-i)"/>
    <s v="The bank will evaluate  the requirement for collateral and/or guarantor"/>
    <s v="BFR+ 1.5%"/>
    <s v="5 YEARS"/>
    <x v="3"/>
    <s v="PENDING DOCS SUBMISSION (AUTHORISED SIGNATURE)"/>
    <n v="0.1"/>
    <m/>
    <d v="2022-08-25T00:00:00"/>
    <n v="10000000"/>
    <m/>
  </r>
  <r>
    <x v="13"/>
    <n v="2022"/>
    <x v="4"/>
    <n v="7.1000000000000008E-2"/>
    <x v="1"/>
    <s v="PEMULIH GOVERNMENT GUARANTEE SCHEME"/>
    <s v="80% SJPP"/>
    <s v="BFR+ 1.0%"/>
    <s v="UP TO 12 YEARS"/>
    <x v="3"/>
    <s v="PENDING DOCS SUBMISSION (AUTHORISED SIGNATURE)"/>
    <n v="0.1"/>
    <m/>
    <d v="2022-08-25T00:00:00"/>
    <n v="20000000"/>
    <m/>
  </r>
  <r>
    <x v="0"/>
    <n v="2022"/>
    <x v="0"/>
    <n v="6.7000000000000004E-2"/>
    <x v="1"/>
    <s v="COMMODITY MURABAHAH OVERDRAFT-I (PGGS)"/>
    <s v="20% FD (RM200,000)_x000a_80% SJPP (RM800,000)"/>
    <n v="0"/>
    <s v="DAILY / 15 YEARS WITH 5 YEARS CYCLE"/>
    <x v="4"/>
    <s v="RUN OUT OF FUND"/>
    <n v="1"/>
    <m/>
    <d v="2022-08-18T00:00:00"/>
    <n v="2500000"/>
    <n v="1000000"/>
  </r>
  <r>
    <x v="11"/>
    <n v="2022"/>
    <x v="0"/>
    <n v="6.7000000000000004E-2"/>
    <x v="1"/>
    <s v="COMMODITY MURABAHAH OVERDRAFT-i"/>
    <s v="Options:-_x000a_1. Sinking Fund (20% Every 6 months / 1 year)_x000a_2. 1 to 1_x000a_3. Property"/>
    <s v="BR + 1.75%"/>
    <s v="DAILY / -"/>
    <x v="4"/>
    <s v="RUN OUT OF FUND"/>
    <n v="1"/>
    <m/>
    <d v="2022-06-20T00:00:00"/>
    <n v="2500000"/>
    <m/>
  </r>
  <r>
    <x v="2"/>
    <n v="2022"/>
    <x v="0"/>
    <n v="6.7000000000000004E-2"/>
    <x v="6"/>
    <s v="COMMODITY MURABAHAH TERM FINANCING-i - TARGETED RELIEF AND RECOVERY FACILITY (CMTF-i – TRFi)"/>
    <s v="80% SJPP (RM400,000)"/>
    <s v="BFR + 1%"/>
    <s v="7 YEARS"/>
    <x v="4"/>
    <s v="RUN OUT OF FUND"/>
    <n v="1"/>
    <m/>
    <d v="2022-08-29T00:00:00"/>
    <n v="500000"/>
    <m/>
  </r>
  <r>
    <x v="4"/>
    <n v="2022"/>
    <x v="0"/>
    <n v="6.7000000000000004E-2"/>
    <x v="6"/>
    <s v="COMMODITY MURABAHAH TERM FINANCING-i - TARGETED RELIEF AND RECOVERY FACILITY (CMTF-i – TRFi)"/>
    <s v="80% SJPP (RM400,000)"/>
    <n v="3.5000000000000003E-2"/>
    <s v="6 YEARS 6 MONTHS + 6 MONTHS MORATORIUM PERIOD"/>
    <x v="4"/>
    <s v="RUN OUT OF FUND"/>
    <n v="1"/>
    <m/>
    <d v="2022-08-17T00:00:00"/>
    <n v="500000"/>
    <m/>
  </r>
  <r>
    <x v="8"/>
    <n v="2022"/>
    <x v="0"/>
    <n v="6.7000000000000004E-2"/>
    <x v="6"/>
    <s v="COMMODITY MURABAHAH TERM FINANCING-i - TARGETED RELIEF AND RECOVERY FACILITY (CMTF-i – TRFi)"/>
    <s v="80% SJPP (RM400,000)"/>
    <s v="BFR + 1%"/>
    <s v="7 YEARS"/>
    <x v="4"/>
    <s v="RUN OUT OF FUND"/>
    <n v="1"/>
    <m/>
    <d v="2022-08-29T00:00:00"/>
    <n v="500000"/>
    <m/>
  </r>
  <r>
    <x v="1"/>
    <n v="2022"/>
    <x v="0"/>
    <n v="6.7000000000000004E-2"/>
    <x v="6"/>
    <s v="COMMODITY MURABAHAH TERM FINANCING-i - TARGETED RELIEF AND RECOVERY FACILITY (CMTF-i – TRFi)"/>
    <s v="80% SJPP (RM400,000)"/>
    <s v="BFR + 1%"/>
    <s v="7 YEARS"/>
    <x v="4"/>
    <s v="RUN OUT OF FUND"/>
    <n v="1"/>
    <m/>
    <d v="2022-04-20T00:00:00"/>
    <n v="500000"/>
    <m/>
  </r>
  <r>
    <x v="5"/>
    <n v="2022"/>
    <x v="0"/>
    <n v="6.7000000000000004E-2"/>
    <x v="6"/>
    <s v="COMMODITY MURABAHAH TERM FINANCING-i - TARGETED RELIEF AND RECOVERY FACILITY (CMTF-i – TRFi)"/>
    <s v="Collateral is NOT required under the TRRF"/>
    <n v="3.5000000000000003E-2"/>
    <s v="7 YEARS"/>
    <x v="4"/>
    <s v="DIDN'T PASS SCORING"/>
    <n v="1"/>
    <m/>
    <d v="2022-08-29T00:00:00"/>
    <n v="500000"/>
    <m/>
  </r>
  <r>
    <x v="9"/>
    <n v="2022"/>
    <x v="5"/>
    <n v="6.7199999999999996E-2"/>
    <x v="1"/>
    <s v="BUSINESS CASH LINE-i"/>
    <m/>
    <m/>
    <m/>
    <x v="4"/>
    <s v="negative obitda; negative DSR, it means repymnt capacity cust is negative"/>
    <n v="1"/>
    <m/>
    <d v="2022-05-15T00:00:00"/>
    <m/>
    <m/>
  </r>
  <r>
    <x v="14"/>
    <n v="2022"/>
    <x v="2"/>
    <n v="6.83E-2"/>
    <x v="1"/>
    <s v="OPEN CASH LINE-I FINANCING FACILITY"/>
    <s v="20% FD (RM200,000)_x000a_80% SJPP (RM800,000)"/>
    <s v="BFR + 0.5%"/>
    <s v="MONTHLY / 5 YEARS"/>
    <x v="4"/>
    <s v="PROBLEM WITH DIRECTORS' CCRIS"/>
    <n v="1"/>
    <m/>
    <d v="2022-08-24T00:00:00"/>
    <n v="1000000"/>
    <m/>
  </r>
  <r>
    <x v="10"/>
    <n v="2022"/>
    <x v="5"/>
    <n v="6.7199999999999996E-2"/>
    <x v="1"/>
    <s v="BUSINESS CASH LINE-i"/>
    <m/>
    <m/>
    <m/>
    <x v="4"/>
    <s v="negative obitda; negative DSR, it means repymnt capacity cust is negative"/>
    <n v="1"/>
    <m/>
    <d v="2022-08-10T00:00:00"/>
    <m/>
    <m/>
  </r>
  <r>
    <x v="3"/>
    <n v="2022"/>
    <x v="0"/>
    <n v="6.7000000000000004E-2"/>
    <x v="6"/>
    <s v="COMMODITY MURABAHAH TERM FINANCING-i - TARGETED RELIEF AND RECOVERY FACILITY (CMTF-i – TRFi)"/>
    <s v="Collateral is NOT required under the TRRF"/>
    <n v="3.5000000000000003E-2"/>
    <s v="7 YEARS"/>
    <x v="4"/>
    <s v="DIDN'T PASS SCORING"/>
    <n v="1"/>
    <m/>
    <d v="2022-08-15T00:00:00"/>
    <n v="500000"/>
    <m/>
  </r>
  <r>
    <x v="0"/>
    <n v="2022"/>
    <x v="5"/>
    <n v="6.7199999999999996E-2"/>
    <x v="1"/>
    <s v="BUSINESS CASH LINE-i"/>
    <m/>
    <m/>
    <m/>
    <x v="4"/>
    <s v="negative obitda; negative DSR, it means repymnt capacity cust is negative"/>
    <n v="1"/>
    <m/>
    <d v="2022-08-10T00:00:00"/>
    <m/>
    <m/>
  </r>
  <r>
    <x v="16"/>
    <n v="2022"/>
    <x v="5"/>
    <n v="6.7199999999999996E-2"/>
    <x v="1"/>
    <s v="BUSINESS CASH LINE-i"/>
    <m/>
    <m/>
    <m/>
    <x v="4"/>
    <s v="negative obitda; negative DSR, it means repymnt capacity cust is negative"/>
    <n v="1"/>
    <m/>
    <d v="2022-05-15T00:00:00"/>
    <m/>
    <m/>
  </r>
  <r>
    <x v="7"/>
    <n v="2022"/>
    <x v="0"/>
    <n v="6.7000000000000004E-2"/>
    <x v="6"/>
    <s v="COMMODITY MURABAHAH TERM FINANCING-i - TARGETED RELIEF AND RECOVERY FACILITY (CMTF-i – TRFi)"/>
    <s v="Collateral is NOT required under the TRRF"/>
    <n v="3.5000000000000003E-2"/>
    <s v="7 YEARS"/>
    <x v="4"/>
    <s v="DIDN'T PASS SCORING"/>
    <n v="1"/>
    <m/>
    <d v="2022-08-15T00:00:00"/>
    <n v="500000"/>
    <m/>
  </r>
  <r>
    <x v="6"/>
    <n v="2022"/>
    <x v="0"/>
    <n v="6.7000000000000004E-2"/>
    <x v="6"/>
    <s v="COMMODITY MURABAHAH TERM FINANCING-i - TARGETED RELIEF AND RECOVERY FACILITY (CMTF-i – TRFi)"/>
    <s v="80% SJPP (RM400,000)"/>
    <s v="BFR + 1%"/>
    <s v="7 YEARS"/>
    <x v="4"/>
    <s v="RUN OUT OF FUND"/>
    <n v="1"/>
    <m/>
    <d v="2022-08-29T00:00:00"/>
    <n v="500000"/>
    <m/>
  </r>
  <r>
    <x v="16"/>
    <n v="2022"/>
    <x v="2"/>
    <n v="6.83E-2"/>
    <x v="1"/>
    <s v="OPEN CASH LINE-I FINANCING FACILITY"/>
    <s v="1. FD (RM500,000)_x000a_2. SINKING FUND (RM50,000 EVERY 6 MONTHS - RM500,000)"/>
    <s v="BFR + 0.5%"/>
    <s v="MONTHLY / 5 YEARS"/>
    <x v="5"/>
    <s v="COLLATERAL USING SINKING FUND"/>
    <n v="1"/>
    <m/>
    <d v="2022-08-14T00:00:00"/>
    <n v="1000000"/>
    <m/>
  </r>
  <r>
    <x v="16"/>
    <n v="2022"/>
    <x v="2"/>
    <n v="6.83E-2"/>
    <x v="2"/>
    <s v="WORKING CAPITAL FINANCING-I FACILITY"/>
    <s v="COMBINE WITH OVERDRAFT"/>
    <s v="BFR + 0.5%"/>
    <s v="MONTHLY / 5 YEARS"/>
    <x v="5"/>
    <s v="COLLATERAL USING SINKING FUND"/>
    <n v="1"/>
    <m/>
    <d v="2022-08-14T00:00:00"/>
    <n v="500000"/>
    <m/>
  </r>
  <r>
    <x v="15"/>
    <n v="2022"/>
    <x v="2"/>
    <n v="6.83E-2"/>
    <x v="1"/>
    <s v="OPEN CASH LINE-I FINANCING FACILITY"/>
    <s v="1. FD (RM90,000)_x000a_2. SINKING FUND (RM11,000 EVERY 3 MONTHS - RM210,000)"/>
    <s v="BFR + 0.5%"/>
    <s v="MONTHLY / 5 YEARS"/>
    <x v="5"/>
    <s v="COLLATERAL USING SINKING FUND"/>
    <n v="1"/>
    <m/>
    <d v="2022-06-16T00:00:00"/>
    <n v="3000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5" cacheId="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B4:F27" firstHeaderRow="1" firstDataRow="2" firstDataCol="1" rowPageCount="1" colPageCount="1"/>
  <pivotFields count="16">
    <pivotField axis="axisRow" showAll="0">
      <items count="18">
        <item x="0"/>
        <item x="9"/>
        <item x="10"/>
        <item x="16"/>
        <item x="14"/>
        <item x="15"/>
        <item x="5"/>
        <item x="3"/>
        <item x="7"/>
        <item x="13"/>
        <item x="11"/>
        <item x="12"/>
        <item x="2"/>
        <item x="4"/>
        <item x="6"/>
        <item x="8"/>
        <item x="1"/>
        <item t="default"/>
      </items>
    </pivotField>
    <pivotField showAll="0"/>
    <pivotField axis="axisCol" showAll="0">
      <items count="7">
        <item x="5"/>
        <item x="2"/>
        <item x="0"/>
        <item x="4"/>
        <item x="3"/>
        <item x="1"/>
        <item t="default"/>
      </items>
    </pivotField>
    <pivotField numFmtId="10" showAll="0"/>
    <pivotField axis="axisRow" showAll="0">
      <items count="10">
        <item x="2"/>
        <item x="1"/>
        <item x="6"/>
        <item x="4"/>
        <item x="5"/>
        <item x="0"/>
        <item m="1" x="8"/>
        <item m="1" x="7"/>
        <item x="3"/>
        <item t="default"/>
      </items>
    </pivotField>
    <pivotField showAll="0"/>
    <pivotField showAll="0"/>
    <pivotField showAll="0"/>
    <pivotField showAll="0"/>
    <pivotField axis="axisPage" multipleItemSelectionAllowed="1" showAll="0">
      <items count="7">
        <item h="1" x="4"/>
        <item h="1" x="5"/>
        <item x="2"/>
        <item h="1" x="1"/>
        <item h="1" x="3"/>
        <item h="1" x="0"/>
        <item t="default"/>
      </items>
    </pivotField>
    <pivotField showAll="0"/>
    <pivotField numFmtId="9" showAll="0"/>
    <pivotField showAll="0"/>
    <pivotField numFmtId="14" showAll="0"/>
    <pivotField showAll="0"/>
    <pivotField dataField="1" showAll="0"/>
  </pivotFields>
  <rowFields count="2">
    <field x="0"/>
    <field x="4"/>
  </rowFields>
  <rowItems count="22">
    <i>
      <x/>
    </i>
    <i r="1">
      <x v="8"/>
    </i>
    <i>
      <x v="2"/>
    </i>
    <i r="1">
      <x v="1"/>
    </i>
    <i r="1">
      <x v="3"/>
    </i>
    <i r="1">
      <x v="4"/>
    </i>
    <i r="1">
      <x v="5"/>
    </i>
    <i>
      <x v="6"/>
    </i>
    <i r="1">
      <x v="1"/>
    </i>
    <i>
      <x v="8"/>
    </i>
    <i r="1">
      <x v="1"/>
    </i>
    <i>
      <x v="10"/>
    </i>
    <i r="1">
      <x v="1"/>
    </i>
    <i>
      <x v="11"/>
    </i>
    <i r="1">
      <x v="1"/>
    </i>
    <i>
      <x v="12"/>
    </i>
    <i r="1">
      <x v="1"/>
    </i>
    <i>
      <x v="14"/>
    </i>
    <i r="1">
      <x v="1"/>
    </i>
    <i>
      <x v="15"/>
    </i>
    <i r="1">
      <x v="1"/>
    </i>
    <i t="grand">
      <x/>
    </i>
  </rowItems>
  <colFields count="1">
    <field x="2"/>
  </colFields>
  <colItems count="4">
    <i>
      <x v="1"/>
    </i>
    <i>
      <x v="3"/>
    </i>
    <i>
      <x v="4"/>
    </i>
    <i t="grand">
      <x/>
    </i>
  </colItems>
  <pageFields count="1">
    <pageField fld="9" hier="-1"/>
  </pageFields>
  <dataFields count="1">
    <dataField name="Sum of TOTAL OFFERED (RM)" fld="15" baseField="0" baseItem="0" numFmtId="43"/>
  </dataFields>
  <formats count="20">
    <format dxfId="199">
      <pivotArea type="all" dataOnly="0" outline="0" fieldPosition="0"/>
    </format>
    <format dxfId="198">
      <pivotArea outline="0" collapsedLevelsAreSubtotals="1" fieldPosition="0"/>
    </format>
    <format dxfId="197">
      <pivotArea type="origin" dataOnly="0" labelOnly="1" outline="0" fieldPosition="0"/>
    </format>
    <format dxfId="196">
      <pivotArea field="2" type="button" dataOnly="0" labelOnly="1" outline="0" axis="axisCol" fieldPosition="0"/>
    </format>
    <format dxfId="195">
      <pivotArea type="topRight" dataOnly="0" labelOnly="1" outline="0" fieldPosition="0"/>
    </format>
    <format dxfId="194">
      <pivotArea field="0" type="button" dataOnly="0" labelOnly="1" outline="0" axis="axisRow" fieldPosition="0"/>
    </format>
    <format dxfId="193">
      <pivotArea dataOnly="0" labelOnly="1" fieldPosition="0">
        <references count="1">
          <reference field="0" count="3">
            <x v="0"/>
            <x v="1"/>
            <x v="2"/>
          </reference>
        </references>
      </pivotArea>
    </format>
    <format dxfId="192">
      <pivotArea dataOnly="0" labelOnly="1" grandRow="1" outline="0" fieldPosition="0"/>
    </format>
    <format dxfId="191">
      <pivotArea dataOnly="0" labelOnly="1" fieldPosition="0">
        <references count="1">
          <reference field="2" count="2">
            <x v="1"/>
            <x v="5"/>
          </reference>
        </references>
      </pivotArea>
    </format>
    <format dxfId="190">
      <pivotArea dataOnly="0" labelOnly="1" grandCol="1" outline="0" fieldPosition="0"/>
    </format>
    <format dxfId="189">
      <pivotArea type="all" dataOnly="0" outline="0" fieldPosition="0"/>
    </format>
    <format dxfId="188">
      <pivotArea field="0" type="button" dataOnly="0" labelOnly="1" outline="0" axis="axisRow" fieldPosition="0"/>
    </format>
    <format dxfId="187">
      <pivotArea dataOnly="0" labelOnly="1" fieldPosition="0">
        <references count="1">
          <reference field="2" count="2">
            <x v="1"/>
            <x v="5"/>
          </reference>
        </references>
      </pivotArea>
    </format>
    <format dxfId="186">
      <pivotArea dataOnly="0" labelOnly="1" grandCol="1" outline="0" fieldPosition="0"/>
    </format>
    <format dxfId="185">
      <pivotArea field="0" type="button" dataOnly="0" labelOnly="1" outline="0" axis="axisRow" fieldPosition="0"/>
    </format>
    <format dxfId="184">
      <pivotArea dataOnly="0" labelOnly="1" fieldPosition="0">
        <references count="1">
          <reference field="2" count="2">
            <x v="1"/>
            <x v="5"/>
          </reference>
        </references>
      </pivotArea>
    </format>
    <format dxfId="183">
      <pivotArea dataOnly="0" labelOnly="1" grandCol="1" outline="0" fieldPosition="0"/>
    </format>
    <format dxfId="182">
      <pivotArea field="0" type="button" dataOnly="0" labelOnly="1" outline="0" axis="axisRow" fieldPosition="0"/>
    </format>
    <format dxfId="181">
      <pivotArea dataOnly="0" labelOnly="1" fieldPosition="0">
        <references count="1">
          <reference field="2" count="2">
            <x v="1"/>
            <x v="5"/>
          </reference>
        </references>
      </pivotArea>
    </format>
    <format dxfId="180">
      <pivotArea dataOnly="0" labelOnly="1" grandCol="1" outline="0"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IES" xr10:uid="{00000000-0013-0000-FFFF-FFFF01000000}" sourceName="COMPANIES">
  <pivotTables>
    <pivotTable tabId="1" name="PivotTable5"/>
  </pivotTables>
  <data>
    <tabular pivotCacheId="1701687979">
      <items count="17">
        <i x="0" s="1"/>
        <i x="5" s="1" nd="1"/>
        <i x="9" s="1" nd="1"/>
        <i x="2" s="1" nd="1"/>
        <i x="4" s="1" nd="1"/>
        <i x="14" s="1" nd="1"/>
        <i x="10" s="1" nd="1"/>
        <i x="3" s="1" nd="1"/>
        <i x="6" s="1" nd="1"/>
        <i x="1" s="1" nd="1"/>
        <i x="11" s="1" nd="1"/>
        <i x="12" s="1" nd="1"/>
        <i x="16" s="1" nd="1"/>
        <i x="13" s="1" nd="1"/>
        <i x="7" s="1" nd="1"/>
        <i x="8" s="1" nd="1"/>
        <i x="1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 xr10:uid="{00000000-0013-0000-FFFF-FFFF02000000}" sourceName="BANK">
  <pivotTables>
    <pivotTable tabId="1" name="PivotTable5"/>
  </pivotTables>
  <data>
    <tabular pivotCacheId="1701687979">
      <items count="6">
        <i x="2" s="1"/>
        <i x="5" s="1" nd="1"/>
        <i x="3" s="1" nd="1"/>
        <i x="0" s="1" nd="1"/>
        <i x="4" s="1" nd="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OF_FACILITY" xr10:uid="{00000000-0013-0000-FFFF-FFFF03000000}" sourceName="TYPE OF FACILITY">
  <pivotTables>
    <pivotTable tabId="1" name="PivotTable5"/>
  </pivotTables>
  <data>
    <tabular pivotCacheId="1701687979">
      <items count="9">
        <i x="3" s="1"/>
        <i x="8" s="1" nd="1"/>
        <i x="2" s="1" nd="1"/>
        <i x="5" s="1" nd="1"/>
        <i x="4" s="1" nd="1"/>
        <i x="1" s="1" nd="1"/>
        <i x="6" s="1" nd="1"/>
        <i x="0"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IES" xr10:uid="{00000000-0014-0000-FFFF-FFFF01000000}" cache="Slicer_COMPANIES" caption="COMPANIES" startItem="12" rowHeight="241300"/>
  <slicer name="BANK" xr10:uid="{00000000-0014-0000-FFFF-FFFF02000000}" cache="Slicer_BANK" caption="BANK" rowHeight="241300"/>
  <slicer name="TYPE OF FACILITY" xr10:uid="{00000000-0014-0000-FFFF-FFFF03000000}" cache="Slicer_TYPE_OF_FACILITY" caption="TYPE OF FACILIT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74072A-D07C-4E85-9CFD-97628FAEEE17}" name="DATABASE45" displayName="DATABASE45" ref="B3:R35" totalsRowCount="1" headerRowDxfId="179" dataDxfId="178">
  <autoFilter ref="B3:R34" xr:uid="{00000000-0009-0000-0100-000001000000}"/>
  <sortState xmlns:xlrd2="http://schemas.microsoft.com/office/spreadsheetml/2017/richdata2" ref="B4:R34">
    <sortCondition sortBy="cellColor" ref="L3:L34" dxfId="177"/>
  </sortState>
  <tableColumns count="17">
    <tableColumn id="1" xr3:uid="{57413E83-E07E-4679-A45A-78F7F65C5E5A}" name="COMPANIES" totalsRowLabel="Total" dataDxfId="176" totalsRowDxfId="175"/>
    <tableColumn id="16" xr3:uid="{1B47ADFA-6BD9-4F21-82DB-AB878E83C055}" name="YEAR OF APPLICATION" dataDxfId="174" totalsRowDxfId="173"/>
    <tableColumn id="2" xr3:uid="{BBC4790F-C68A-4535-B2A5-B458DD2F3417}" name="BANK" dataDxfId="172" totalsRowDxfId="171"/>
    <tableColumn id="3" xr3:uid="{07231840-B0C5-4FB7-8AEA-EF682A90D282}" name="BFR" dataDxfId="170" totalsRowDxfId="169" dataCellStyle="Percent">
      <calculatedColumnFormula>VLOOKUP(DATABASE45[[#This Row],[BANK]],BFR[#All],2,FALSE)</calculatedColumnFormula>
    </tableColumn>
    <tableColumn id="6" xr3:uid="{1E44D231-A800-4E80-8370-73A6931652AA}" name="PROPERTY" dataDxfId="168" totalsRowDxfId="167" dataCellStyle="Percent"/>
    <tableColumn id="4" xr3:uid="{9BBAD996-6826-4B55-906F-5BC4D6E8B540}" name="TYPE OF FACILITY" dataDxfId="166" totalsRowDxfId="165"/>
    <tableColumn id="5" xr3:uid="{108FFFF9-A275-490C-885A-9ADC954D7961}" name="NAME OF FACILITY" dataDxfId="164" totalsRowDxfId="163"/>
    <tableColumn id="7" xr3:uid="{1A93DED3-D69E-4115-B9D2-F89EAD4D1F70}" name="COLLATERAL" dataDxfId="162" totalsRowDxfId="161"/>
    <tableColumn id="8" xr3:uid="{AB5C57B6-0EDF-4AFD-9C01-AC81D4CB3D87}" name="PROFIT RATE" dataDxfId="160" totalsRowDxfId="159"/>
    <tableColumn id="9" xr3:uid="{E8F6E749-6854-41AD-B692-28E150C64965}" name="RATE/TENURE" dataDxfId="158" totalsRowDxfId="157"/>
    <tableColumn id="10" xr3:uid="{0BF59D92-1642-4ADB-A456-C110D7258A17}" name="APPLICATION STATUS" dataDxfId="156" totalsRowDxfId="155"/>
    <tableColumn id="11" xr3:uid="{89DAD05C-9A20-4B92-ABEC-C0CDDEB38210}" name="APPLICATION DETAILS" dataDxfId="154" totalsRowDxfId="153"/>
    <tableColumn id="12" xr3:uid="{657DEE06-9E4B-4E8A-9094-0267C26E5360}" name="PROGRESS" dataDxfId="152" totalsRowDxfId="151" dataCellStyle="Percent"/>
    <tableColumn id="18" xr3:uid="{407C50DA-C915-4FCC-BF89-161235234B36}" name="DATE DOCUMENT SEND" dataDxfId="150" totalsRowDxfId="149" dataCellStyle="Percent"/>
    <tableColumn id="15" xr3:uid="{26FFCFE1-0D71-4551-AC96-A014AAC76DDD}" name="DATE UPDATED" dataDxfId="148" totalsRowDxfId="147" dataCellStyle="Percent"/>
    <tableColumn id="13" xr3:uid="{43B48DF0-174E-4850-8845-5530DAC9FCA4}" name="TOTAL REQUESTED (RM)" totalsRowFunction="sum" dataDxfId="146" totalsRowDxfId="145"/>
    <tableColumn id="14" xr3:uid="{EABB9C2A-892F-4A65-9955-41EC500D0C71}" name="TOTAL OFFERED (RM)" totalsRowFunction="sum" dataDxfId="144" totalsRowDxfId="143"/>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D32823-78CC-4933-A999-83ACBB854457}" name="DATABASE4" displayName="DATABASE4" ref="B3:S14" totalsRowCount="1" headerRowDxfId="239" dataDxfId="238" totalsRowDxfId="237">
  <autoFilter ref="B3:S13" xr:uid="{00000000-0009-0000-0100-000001000000}">
    <filterColumn colId="2">
      <filters>
        <filter val="AFFIN BANK"/>
        <filter val="BANK RAKYAT"/>
        <filter val="HSBC BANK"/>
        <filter val="MAYBANK"/>
        <filter val="MBSB BANK"/>
        <filter val="RHB BANK"/>
        <filter val="SME BANK"/>
        <filter val="STANDARD CHARTERED"/>
        <filter val="UOB BANK"/>
      </filters>
    </filterColumn>
  </autoFilter>
  <sortState xmlns:xlrd2="http://schemas.microsoft.com/office/spreadsheetml/2017/richdata2" ref="B4:R11">
    <sortCondition sortBy="cellColor" ref="K3:K11" dxfId="236"/>
  </sortState>
  <tableColumns count="18">
    <tableColumn id="1" xr3:uid="{3F5DFBCE-8CA1-4105-95C0-6E55F756D4B9}" name="COMPANIES" totalsRowLabel="Total" dataDxfId="235" totalsRowDxfId="234"/>
    <tableColumn id="16" xr3:uid="{107045EA-9CD3-4782-B153-AC15096AF337}" name="YEAR OF APPLICATION" dataDxfId="233" totalsRowDxfId="232"/>
    <tableColumn id="2" xr3:uid="{525D967C-4C27-4152-AA5F-DA158CCEB14E}" name="BANK" dataDxfId="231" totalsRowDxfId="230"/>
    <tableColumn id="3" xr3:uid="{BD554F26-64CC-4818-B23C-17690FB87702}" name="BFR" dataDxfId="229" totalsRowDxfId="228" dataCellStyle="Percent">
      <calculatedColumnFormula>VLOOKUP(DATABASE42[[#This Row],[BANK]],BFR[#All],2,FALSE)</calculatedColumnFormula>
    </tableColumn>
    <tableColumn id="4" xr3:uid="{F1047EE6-079F-439C-AADD-92A644457D2E}" name="TYPE OF FACILITY" dataDxfId="227" totalsRowDxfId="226"/>
    <tableColumn id="5" xr3:uid="{E2823418-EE4E-4626-9C99-AB85CC39EE9A}" name="NAME OF FACILITY" dataDxfId="225" totalsRowDxfId="224"/>
    <tableColumn id="7" xr3:uid="{7983BE38-1EA7-4CCE-8946-423478686FB3}" name="COLLATERAL" dataDxfId="223" totalsRowDxfId="222"/>
    <tableColumn id="8" xr3:uid="{BE925845-CAE2-4373-B223-934E1197DFC4}" name="PROFIT RATE" dataDxfId="221" totalsRowDxfId="220"/>
    <tableColumn id="9" xr3:uid="{1FDB1CBF-46C4-474E-B6A9-FF20DECC96CD}" name="RATE/TENURE" dataDxfId="219" totalsRowDxfId="218"/>
    <tableColumn id="10" xr3:uid="{00BB5683-7FE9-4F86-9A9E-E3AE9A744045}" name="APPLICATION STATUS" dataDxfId="217" totalsRowDxfId="216"/>
    <tableColumn id="11" xr3:uid="{D799B18B-A51A-4A45-95AB-0F90EC910C26}" name="APPLICATION DETAILS" dataDxfId="215" totalsRowDxfId="214"/>
    <tableColumn id="12" xr3:uid="{EAC5825B-043D-48FB-A179-584DD84AC3B0}" name="PROGRESS" dataDxfId="213" totalsRowDxfId="212" dataCellStyle="Percent"/>
    <tableColumn id="18" xr3:uid="{FB0FA314-6010-4890-9038-4CEAEC4B6B75}" name="DATE DOCUMENT SEND" dataDxfId="211" totalsRowDxfId="210" dataCellStyle="Percent"/>
    <tableColumn id="6" xr3:uid="{63227D33-62F7-4152-B1B8-D98497FE6B61}" name="DATE TO FOLLOW UP" dataDxfId="209" totalsRowDxfId="208" dataCellStyle="Percent"/>
    <tableColumn id="15" xr3:uid="{BCE8DE2C-B3C1-4DF2-A847-2347CA15997E}" name="DATE UPDATED" dataDxfId="207" totalsRowDxfId="206" dataCellStyle="Percent"/>
    <tableColumn id="13" xr3:uid="{5253953F-95E0-4BF3-9C99-F1E8CD819F65}" name="TOTAL REQUESTED (RM)" totalsRowFunction="sum" dataDxfId="205" totalsRowDxfId="204"/>
    <tableColumn id="14" xr3:uid="{E1AA60F2-27EB-488D-A959-498812370A5F}" name="TOTAL APPROVED (RM)" totalsRowFunction="sum" dataDxfId="203" totalsRowDxfId="202"/>
    <tableColumn id="17" xr3:uid="{723774F2-5F20-4FBB-85C6-0E420FCD8CAC}" name="Column1" dataDxfId="201" totalsRowDxfId="200"/>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2C75A-FA88-412C-AA68-54BF323768B1}" name="DATABASE42" displayName="DATABASE42" ref="B3:T12" totalsRowCount="1" headerRowDxfId="142" dataDxfId="141">
  <autoFilter ref="B3:T11" xr:uid="{00000000-0009-0000-0100-000001000000}">
    <filterColumn colId="2">
      <filters>
        <filter val="AFFIN BANK"/>
        <filter val="BANK RAKYAT"/>
        <filter val="HSBC BANK"/>
        <filter val="MAYBANK"/>
        <filter val="MBSB BANK"/>
        <filter val="RHB BANK"/>
        <filter val="SME BANK"/>
        <filter val="STANDARD CHARTERED"/>
        <filter val="UOB BANK"/>
      </filters>
    </filterColumn>
  </autoFilter>
  <sortState xmlns:xlrd2="http://schemas.microsoft.com/office/spreadsheetml/2017/richdata2" ref="B4:R4">
    <sortCondition sortBy="cellColor" ref="K3:K4" dxfId="140"/>
  </sortState>
  <tableColumns count="19">
    <tableColumn id="1" xr3:uid="{97F12223-62D2-49A3-8E4A-88CE3CF4D12B}" name="COMPANIES" totalsRowLabel="Total" dataDxfId="139" totalsRowDxfId="18"/>
    <tableColumn id="16" xr3:uid="{A2DD8C3B-13F8-4585-8AC9-6927C6660582}" name="YEAR OF APPLICATION" dataDxfId="138" totalsRowDxfId="17"/>
    <tableColumn id="2" xr3:uid="{BDF488C4-9B64-484B-A21E-CDC1BFB5290F}" name="BANK" dataDxfId="137" totalsRowDxfId="16"/>
    <tableColumn id="3" xr3:uid="{5823C5FF-8A7E-4659-9C54-968B8941B23D}" name="BFR" dataDxfId="136" totalsRowDxfId="15" dataCellStyle="Percent">
      <calculatedColumnFormula>VLOOKUP(DATABASE42[[#This Row],[BANK]],BFR[#All],2,FALSE)</calculatedColumnFormula>
    </tableColumn>
    <tableColumn id="4" xr3:uid="{812ED9EB-DEBB-4C48-A850-4CC20DE3B2F5}" name="TYPE OF FACILITY" dataDxfId="135" totalsRowDxfId="14"/>
    <tableColumn id="5" xr3:uid="{75DD2796-C381-4C16-AC83-37222CF7B751}" name="NAME OF FACILITY" dataDxfId="134" totalsRowDxfId="13"/>
    <tableColumn id="7" xr3:uid="{1C6D8AC0-38B9-4FA6-AF06-CD1A64CFDC0A}" name="COLLATERAL" dataDxfId="133" totalsRowDxfId="12"/>
    <tableColumn id="8" xr3:uid="{E929EE8E-7431-43C6-A9AF-081DDE7494D4}" name="PROFIT RATE" dataDxfId="132" totalsRowDxfId="11"/>
    <tableColumn id="9" xr3:uid="{8DDD34A0-13FB-44EA-AF6E-6EE929E1138D}" name="RATE/TENURE" dataDxfId="131" totalsRowDxfId="10"/>
    <tableColumn id="10" xr3:uid="{92B1578C-5603-44EA-8AF8-9BB876A46B5F}" name="APPLICATION STATUS" dataDxfId="130" totalsRowDxfId="9"/>
    <tableColumn id="11" xr3:uid="{CB433080-F6A2-4B02-B12D-8531993A7AE7}" name="APPLICATION DETAILS" dataDxfId="129" totalsRowDxfId="8"/>
    <tableColumn id="12" xr3:uid="{CAE0F034-ADCA-4FF2-A953-C6B98FDD1CD9}" name="PROGRESS" dataDxfId="128" totalsRowDxfId="7" dataCellStyle="Percent"/>
    <tableColumn id="18" xr3:uid="{9B88BB8A-17D7-479E-A546-595C752D0F07}" name="DATE DOCUMENT SEND" dataDxfId="127" totalsRowDxfId="6" dataCellStyle="Percent"/>
    <tableColumn id="6" xr3:uid="{DF5F4682-46A3-49A6-B8D7-C337A12348E6}" name="DATE TO FOLLOW UP" dataDxfId="126" totalsRowDxfId="5" dataCellStyle="Percent"/>
    <tableColumn id="15" xr3:uid="{6E940839-26EB-4CE5-AF62-50C969383A0E}" name="DATE UPDATED" dataDxfId="125" totalsRowDxfId="4" dataCellStyle="Percent"/>
    <tableColumn id="13" xr3:uid="{81557A66-8CB0-4656-82BB-490D883F147E}" name="TOTAL REQUESTED (RM)" totalsRowFunction="sum" dataDxfId="124" totalsRowDxfId="3"/>
    <tableColumn id="14" xr3:uid="{9B7B1E3B-F776-4C2B-BDBC-6662234CD227}" name="TOTAL OFFERED (RM)" totalsRowFunction="sum" dataDxfId="123" totalsRowDxfId="2"/>
    <tableColumn id="17" xr3:uid="{CD865715-592E-4815-8F3D-F673493CCF9C}" name="Column1" dataDxfId="122" totalsRowDxfId="1"/>
    <tableColumn id="19" xr3:uid="{6214A47F-E6F7-4E07-9C57-8EA8B40A02C1}" name="Column2" dataDxfId="121" totalsRowDxfId="0"/>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05379CB-D611-46AC-8F2B-0E042C2377EE}" name="DATABASE427" displayName="DATABASE427" ref="B3:P11" totalsRowCount="1" headerRowDxfId="120" dataDxfId="119">
  <autoFilter ref="B3:P10" xr:uid="{00000000-0009-0000-0100-000001000000}"/>
  <sortState xmlns:xlrd2="http://schemas.microsoft.com/office/spreadsheetml/2017/richdata2" ref="C4:K5">
    <sortCondition sortBy="cellColor" ref="H3:H5" dxfId="118"/>
  </sortState>
  <tableColumns count="15">
    <tableColumn id="1" xr3:uid="{5C0B0CE2-9A97-4BC8-8F83-8697EC8CF249}" name="NO" dataDxfId="117" totalsRowDxfId="116"/>
    <tableColumn id="4" xr3:uid="{125F3274-9710-4070-88C2-4CCE3718C917}" name="TYPE OF FACILITY" dataDxfId="115" totalsRowDxfId="114"/>
    <tableColumn id="5" xr3:uid="{5CAFB5E2-D59D-49F6-B91D-341048B1E958}" name="NAME OF FACILITY" dataDxfId="113" totalsRowDxfId="112"/>
    <tableColumn id="7" xr3:uid="{C0490062-6B72-4E4E-82BB-013A5CE6FFCA}" name="LOAN / FINANCING LIMIT" dataDxfId="111" totalsRowDxfId="110"/>
    <tableColumn id="8" xr3:uid="{A34D8008-1E69-4C78-B4B6-DB1567A3D16C}" name="PROFIT RATE" dataDxfId="109" totalsRowDxfId="108"/>
    <tableColumn id="9" xr3:uid="{7F52B8D1-0167-4384-A68A-2DD045EFB129}" name="TENURE" dataDxfId="107" totalsRowDxfId="106"/>
    <tableColumn id="10" xr3:uid="{19590F76-57E4-4B86-8E26-3E414FB9F68E}" name="GUARANTEE / COLLATERAL" dataDxfId="105" totalsRowDxfId="104"/>
    <tableColumn id="2" xr3:uid="{C1DBBA39-49A5-407A-BA0B-0012D87D82AB}" name="TAKAFUL / INSURANCE" dataDxfId="103" totalsRowDxfId="102"/>
    <tableColumn id="6" xr3:uid="{EE018192-A89B-4C80-98F5-266353964814}" name="LEGAL FEE" dataDxfId="101" totalsRowDxfId="100"/>
    <tableColumn id="14" xr3:uid="{B5E7EB19-AA16-46FC-973B-E730D76F9AD0}" name="TOTAL OFFERED (RM)" totalsRowFunction="sum" dataDxfId="99" totalsRowDxfId="98"/>
    <tableColumn id="17" xr3:uid="{8F9F5912-D7D2-4B62-A8FC-48C4DEAA504D}" name="Column1" dataDxfId="97" totalsRowDxfId="96"/>
    <tableColumn id="19" xr3:uid="{DBACD64F-5067-49E5-A12A-950837DD15AD}" name="Column2" dataDxfId="95" totalsRowDxfId="94"/>
    <tableColumn id="20" xr3:uid="{D0359776-B835-4D9B-8F25-FDF8D54D8204}" name="Column3" dataDxfId="93" totalsRowDxfId="92"/>
    <tableColumn id="21" xr3:uid="{F3FFA9C0-9E43-478F-8EBA-03AFEEF09656}" name="Column4" dataDxfId="91" totalsRowDxfId="90"/>
    <tableColumn id="22" xr3:uid="{9A2A9864-CCD2-40DE-B91B-C58F6AC77A43}" name="Column5" dataDxfId="89" totalsRowDxfId="88"/>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BBE810D-CE38-43FF-9972-3EBB60828E9B}" name="DATABASE46" displayName="DATABASE46" ref="B3:S31" totalsRowCount="1" headerRowDxfId="87" dataDxfId="86">
  <autoFilter ref="B3:S30" xr:uid="{00000000-0009-0000-0100-000001000000}">
    <filterColumn colId="2">
      <filters>
        <filter val="AFFIN BANK"/>
        <filter val="BANK RAKYAT"/>
        <filter val="HSBC BANK"/>
        <filter val="MAYBANK"/>
        <filter val="MBSB BANK"/>
        <filter val="RHB BANK"/>
        <filter val="SME BANK"/>
        <filter val="STANDARD CHARTERED"/>
        <filter val="UOB BANK"/>
      </filters>
    </filterColumn>
  </autoFilter>
  <sortState xmlns:xlrd2="http://schemas.microsoft.com/office/spreadsheetml/2017/richdata2" ref="B3:R4">
    <sortCondition sortBy="cellColor" ref="K3" dxfId="85"/>
  </sortState>
  <tableColumns count="18">
    <tableColumn id="1" xr3:uid="{30D989F0-9107-4759-8443-2FBF418F8C99}" name="COMPANIES" totalsRowLabel="Total" dataDxfId="84" totalsRowDxfId="83"/>
    <tableColumn id="16" xr3:uid="{1F728CC4-F92D-44B3-BC2F-BCCE4E9EE00A}" name="YEAR OF APPLICATION" dataDxfId="82" totalsRowDxfId="81"/>
    <tableColumn id="2" xr3:uid="{D0BFE3D0-93E1-4C36-9B6F-C3751057C7CE}" name="BANK" dataDxfId="80" totalsRowDxfId="79"/>
    <tableColumn id="3" xr3:uid="{4DAF59C5-A07F-4BC8-9EEE-50791F274C62}" name="BFR" dataDxfId="78" totalsRowDxfId="77" dataCellStyle="Percent">
      <calculatedColumnFormula>VLOOKUP(DATABASE46[[#This Row],[BANK]],BFR[#All],2,FALSE)</calculatedColumnFormula>
    </tableColumn>
    <tableColumn id="4" xr3:uid="{89D3A825-F161-408D-94B1-9711F3B0CB88}" name="TYPE OF FACILITY" dataDxfId="76" totalsRowDxfId="75"/>
    <tableColumn id="5" xr3:uid="{2B7F0CD2-1685-4AE9-A281-563C3067D912}" name="NAME OF FACILITY" dataDxfId="74" totalsRowDxfId="73"/>
    <tableColumn id="7" xr3:uid="{AE7DA722-0DE9-496B-B3B3-FFA441B0E899}" name="COLLATERAL" dataDxfId="72" totalsRowDxfId="71"/>
    <tableColumn id="8" xr3:uid="{EE5E4449-F708-4B85-A77A-38D6DED4F0DF}" name="PROFIT RATE" dataDxfId="70" totalsRowDxfId="69"/>
    <tableColumn id="9" xr3:uid="{B0DE6439-8CD8-4758-8FF1-6488D5DBCF34}" name="RATE/TENURE" dataDxfId="68" totalsRowDxfId="67"/>
    <tableColumn id="10" xr3:uid="{B8297949-1200-4075-9B83-8947247405E0}" name="APPLICATION STATUS" dataDxfId="66" totalsRowDxfId="65"/>
    <tableColumn id="11" xr3:uid="{550A93EF-554F-4610-A019-0FAD2CBEDDF6}" name="APPLICATION DETAILS" dataDxfId="64" totalsRowDxfId="63"/>
    <tableColumn id="12" xr3:uid="{B104D892-AC0E-4ACB-8661-D49030D9477E}" name="PROGRESS" dataDxfId="62" totalsRowDxfId="61" dataCellStyle="Percent"/>
    <tableColumn id="18" xr3:uid="{E23EFC76-E71C-498E-BCC8-322C65E23CC8}" name="DATE DOCUMENT SEND" dataDxfId="60" totalsRowDxfId="59" dataCellStyle="Percent"/>
    <tableColumn id="6" xr3:uid="{B431A233-18BF-4C1D-B24F-B33377B17E88}" name="DATE TO FOLLOW UP" dataDxfId="58" totalsRowDxfId="57" dataCellStyle="Percent"/>
    <tableColumn id="15" xr3:uid="{9F14CFD2-B20B-40E0-962B-62C18F23630C}" name="DATE UPDATED" dataDxfId="56" totalsRowDxfId="55" dataCellStyle="Percent"/>
    <tableColumn id="13" xr3:uid="{811EE6E7-9CAF-4918-AC82-B370B7B9CC5B}" name="TOTAL REQUESTED (RM)" totalsRowFunction="sum" dataDxfId="54" totalsRowDxfId="53"/>
    <tableColumn id="14" xr3:uid="{78B36D3A-8C12-4274-BAA6-073C17FBCBC6}" name="TOTAL OFFERED (RM)" totalsRowFunction="sum" dataDxfId="52" totalsRowDxfId="51"/>
    <tableColumn id="17" xr3:uid="{43D40614-9E66-42B3-AB55-AD1DA5A8BEBD}" name="Column1" dataDxfId="50" totalsRowDxfId="49"/>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BFR" displayName="BFR" ref="B4:F24" totalsRowShown="0" dataDxfId="48">
  <autoFilter ref="B4:F24" xr:uid="{00000000-0009-0000-0100-000002000000}"/>
  <sortState xmlns:xlrd2="http://schemas.microsoft.com/office/spreadsheetml/2017/richdata2" ref="B5:C24">
    <sortCondition ref="C4:C24"/>
  </sortState>
  <tableColumns count="5">
    <tableColumn id="1" xr3:uid="{00000000-0010-0000-0100-000001000000}" name="BANK" dataDxfId="47"/>
    <tableColumn id="2" xr3:uid="{00000000-0010-0000-0100-000002000000}" name="Jul-25" dataDxfId="46" dataCellStyle="Percent">
      <calculatedColumnFormula>BFR[[#This Row],[May-23]]-0.0025</calculatedColumnFormula>
    </tableColumn>
    <tableColumn id="3" xr3:uid="{ED4087A0-126D-438A-9C63-C2F369DAB8AC}" name="May-23" dataDxfId="45" dataCellStyle="Percent"/>
    <tableColumn id="4" xr3:uid="{C2EB0153-5AEF-4105-869A-9B6AC53321A2}" name="DIFFERENCE" dataDxfId="44">
      <calculatedColumnFormula>BFR[[#This Row],[Jul-25]]-BFR[[#This Row],[May-23]]</calculatedColumnFormula>
    </tableColumn>
    <tableColumn id="5" xr3:uid="{9FBAD60A-C957-47EC-9962-982F15CAD307}" name="Column1" dataDxfId="4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0" dT="2024-11-03T01:08:59.18" personId="{DE62C9B1-865D-4EC6-81EF-AD68F65521BB}" id="{132FD3B6-E625-48EA-ADAE-FD26495E0FCE}">
    <text xml:space="preserve">MIN : RM500K
</text>
  </threadedComment>
</ThreadedComments>
</file>

<file path=xl/threadedComments/threadedComment2.xml><?xml version="1.0" encoding="utf-8"?>
<ThreadedComments xmlns="http://schemas.microsoft.com/office/spreadsheetml/2018/threadedcomments" xmlns:x="http://schemas.openxmlformats.org/spreadsheetml/2006/main">
  <threadedComment ref="B8" dT="2026-05-17T04:07:17.75" personId="{DE62C9B1-865D-4EC6-81EF-AD68F65521BB}" id="{61DE3B8C-A653-48E9-AC71-51C2497AD330}">
    <text>Perlu buka current account dulu, untuk proses yang ni</text>
  </threadedComment>
  <threadedComment ref="B9" dT="2026-05-17T04:07:17.75" personId="{DE62C9B1-865D-4EC6-81EF-AD68F65521BB}" id="{F06233EE-A277-4E23-BF08-AB880544E31D}">
    <text>Perlu buka current account dulu, untuk proses yang ni</text>
  </threadedComment>
  <threadedComment ref="B10" dT="2026-05-17T04:07:17.75" personId="{DE62C9B1-865D-4EC6-81EF-AD68F65521BB}" id="{A91A156D-9A7D-4FFA-95DE-7D3A1336982D}">
    <text>Perlu buka current account dulu, untuk proses yang ni</text>
  </threadedComment>
  <threadedComment ref="B11" dT="2026-05-17T04:07:17.75" personId="{DE62C9B1-865D-4EC6-81EF-AD68F65521BB}" id="{4CB9B612-732E-41D8-BB8E-DE0C0F6F2667}">
    <text>Perlu buka current account dulu, untuk proses yang ni</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R70"/>
  <sheetViews>
    <sheetView showGridLines="0" workbookViewId="0">
      <selection activeCell="G27" sqref="G27"/>
    </sheetView>
  </sheetViews>
  <sheetFormatPr defaultColWidth="9.1796875" defaultRowHeight="14" x14ac:dyDescent="0.35"/>
  <cols>
    <col min="1" max="1" width="5.1796875" style="12" customWidth="1"/>
    <col min="2" max="2" width="56.7265625" style="12" bestFit="1" customWidth="1"/>
    <col min="3" max="3" width="17.7265625" style="12" bestFit="1" customWidth="1"/>
    <col min="4" max="5" width="11.7265625" style="12" bestFit="1" customWidth="1"/>
    <col min="6" max="7" width="13.26953125" style="12" bestFit="1" customWidth="1"/>
    <col min="8" max="8" width="21.81640625" style="12" bestFit="1" customWidth="1"/>
    <col min="9" max="9" width="11.1796875" style="12" bestFit="1" customWidth="1"/>
    <col min="10" max="10" width="48.81640625" style="12" bestFit="1" customWidth="1"/>
    <col min="11" max="11" width="51.54296875" style="12" bestFit="1" customWidth="1"/>
    <col min="12" max="12" width="11.26953125" style="12" bestFit="1" customWidth="1"/>
    <col min="13" max="13" width="15.1796875" style="12" bestFit="1" customWidth="1"/>
    <col min="14" max="14" width="11.81640625" style="12" bestFit="1" customWidth="1"/>
    <col min="15" max="15" width="15" style="12" bestFit="1" customWidth="1"/>
    <col min="16" max="16" width="23.7265625" style="12" bestFit="1" customWidth="1"/>
    <col min="17" max="17" width="26.81640625" style="12" bestFit="1" customWidth="1"/>
    <col min="18" max="18" width="11.1796875" style="12" bestFit="1" customWidth="1"/>
    <col min="19" max="16384" width="9.1796875" style="12"/>
  </cols>
  <sheetData>
    <row r="1" spans="2:18" ht="14.5" x14ac:dyDescent="0.35">
      <c r="B1"/>
      <c r="C1"/>
    </row>
    <row r="2" spans="2:18" ht="14.5" x14ac:dyDescent="0.35">
      <c r="B2" s="14" t="s">
        <v>5</v>
      </c>
      <c r="C2" s="15" t="s">
        <v>75</v>
      </c>
    </row>
    <row r="4" spans="2:18" ht="14.5" x14ac:dyDescent="0.35">
      <c r="B4" s="14" t="s">
        <v>39</v>
      </c>
      <c r="C4" s="14" t="s">
        <v>38</v>
      </c>
      <c r="D4" s="15"/>
      <c r="E4" s="15"/>
      <c r="F4" s="15"/>
      <c r="G4"/>
      <c r="H4" s="13"/>
      <c r="I4" s="13"/>
      <c r="J4" s="13"/>
      <c r="K4" s="13"/>
      <c r="L4" s="13"/>
      <c r="M4" s="13"/>
      <c r="N4" s="13"/>
      <c r="O4" s="13"/>
      <c r="P4" s="13"/>
      <c r="Q4" s="13"/>
      <c r="R4" s="13"/>
    </row>
    <row r="5" spans="2:18" s="18" customFormat="1" ht="14.5" x14ac:dyDescent="0.35">
      <c r="B5" s="19" t="s">
        <v>36</v>
      </c>
      <c r="C5" s="20" t="s">
        <v>20</v>
      </c>
      <c r="D5" s="15" t="s">
        <v>40</v>
      </c>
      <c r="E5" s="15" t="s">
        <v>48</v>
      </c>
      <c r="F5" s="20" t="s">
        <v>37</v>
      </c>
      <c r="G5"/>
      <c r="H5" s="21"/>
      <c r="I5" s="21"/>
      <c r="J5" s="21"/>
      <c r="K5" s="21"/>
      <c r="L5" s="21"/>
      <c r="M5" s="21"/>
      <c r="N5" s="21"/>
      <c r="O5" s="21"/>
      <c r="P5" s="21"/>
      <c r="Q5" s="21"/>
      <c r="R5" s="21"/>
    </row>
    <row r="6" spans="2:18" ht="14.5" x14ac:dyDescent="0.35">
      <c r="B6" s="16" t="s">
        <v>27</v>
      </c>
      <c r="C6" s="15">
        <v>1000000</v>
      </c>
      <c r="D6" s="15"/>
      <c r="E6" s="15"/>
      <c r="F6" s="15">
        <v>1000000</v>
      </c>
      <c r="G6"/>
      <c r="H6" s="13"/>
      <c r="I6" s="13"/>
      <c r="J6" s="13"/>
      <c r="K6" s="13"/>
      <c r="L6" s="13"/>
      <c r="M6" s="13"/>
      <c r="N6" s="13"/>
      <c r="O6" s="13"/>
      <c r="P6" s="13"/>
      <c r="Q6" s="13"/>
      <c r="R6" s="13"/>
    </row>
    <row r="7" spans="2:18" ht="14.5" x14ac:dyDescent="0.35">
      <c r="B7" s="17" t="s">
        <v>79</v>
      </c>
      <c r="C7" s="15">
        <v>1000000</v>
      </c>
      <c r="D7" s="15"/>
      <c r="E7" s="15"/>
      <c r="F7" s="15">
        <v>1000000</v>
      </c>
      <c r="G7"/>
      <c r="H7" s="13"/>
      <c r="I7" s="13"/>
      <c r="J7" s="13"/>
      <c r="K7" s="13"/>
      <c r="L7" s="13"/>
      <c r="M7" s="13"/>
      <c r="N7" s="13"/>
      <c r="O7" s="13"/>
      <c r="P7" s="13"/>
      <c r="Q7" s="13"/>
      <c r="R7" s="13"/>
    </row>
    <row r="8" spans="2:18" ht="14.5" x14ac:dyDescent="0.35">
      <c r="B8" s="16" t="s">
        <v>17</v>
      </c>
      <c r="C8" s="15"/>
      <c r="D8" s="15"/>
      <c r="E8" s="15"/>
      <c r="F8" s="15"/>
      <c r="G8"/>
      <c r="H8" s="13"/>
      <c r="I8" s="13"/>
      <c r="J8" s="13"/>
      <c r="K8" s="13"/>
      <c r="L8" s="13"/>
      <c r="M8" s="13"/>
      <c r="N8" s="13"/>
      <c r="O8" s="13"/>
      <c r="P8" s="13"/>
      <c r="Q8" s="13"/>
      <c r="R8" s="13"/>
    </row>
    <row r="9" spans="2:18" ht="14.5" x14ac:dyDescent="0.35">
      <c r="B9" s="17" t="s">
        <v>16</v>
      </c>
      <c r="C9" s="15"/>
      <c r="D9" s="15"/>
      <c r="E9" s="15"/>
      <c r="F9" s="15"/>
      <c r="G9"/>
      <c r="H9" s="13"/>
      <c r="I9" s="13"/>
      <c r="J9" s="13"/>
      <c r="K9" s="13"/>
      <c r="L9" s="13"/>
      <c r="M9" s="13"/>
      <c r="N9" s="13"/>
      <c r="O9" s="13"/>
      <c r="P9" s="13"/>
      <c r="Q9" s="13"/>
      <c r="R9" s="13"/>
    </row>
    <row r="10" spans="2:18" ht="14.5" x14ac:dyDescent="0.35">
      <c r="B10" s="17" t="s">
        <v>46</v>
      </c>
      <c r="C10" s="15"/>
      <c r="D10" s="15"/>
      <c r="E10" s="15"/>
      <c r="F10" s="15"/>
      <c r="G10"/>
      <c r="H10" s="13"/>
      <c r="I10" s="13"/>
      <c r="J10" s="13"/>
      <c r="K10" s="13"/>
      <c r="L10" s="13"/>
      <c r="M10" s="13"/>
      <c r="N10" s="13"/>
      <c r="O10" s="13"/>
      <c r="P10" s="13"/>
      <c r="Q10" s="13"/>
      <c r="R10" s="13"/>
    </row>
    <row r="11" spans="2:18" ht="14.5" x14ac:dyDescent="0.35">
      <c r="B11" s="17" t="s">
        <v>47</v>
      </c>
      <c r="C11" s="15"/>
      <c r="D11" s="15"/>
      <c r="E11" s="15"/>
      <c r="F11" s="15"/>
      <c r="G11"/>
      <c r="H11" s="13"/>
      <c r="I11" s="13"/>
      <c r="J11" s="13"/>
      <c r="K11" s="13"/>
      <c r="L11" s="13"/>
      <c r="M11" s="13"/>
      <c r="N11" s="13"/>
      <c r="O11" s="13"/>
      <c r="P11" s="13"/>
      <c r="Q11" s="13"/>
      <c r="R11" s="13"/>
    </row>
    <row r="12" spans="2:18" ht="14.5" x14ac:dyDescent="0.35">
      <c r="B12" s="17" t="s">
        <v>41</v>
      </c>
      <c r="C12" s="15"/>
      <c r="D12" s="15"/>
      <c r="E12" s="15"/>
      <c r="F12" s="15"/>
      <c r="G12"/>
      <c r="H12" s="13"/>
      <c r="I12" s="13"/>
      <c r="J12" s="13"/>
      <c r="K12" s="13"/>
      <c r="L12" s="13"/>
      <c r="M12" s="13"/>
      <c r="N12" s="13"/>
      <c r="O12" s="13"/>
      <c r="P12" s="13"/>
      <c r="Q12" s="13"/>
      <c r="R12" s="13"/>
    </row>
    <row r="13" spans="2:18" ht="14.5" x14ac:dyDescent="0.35">
      <c r="B13" s="16" t="s">
        <v>33</v>
      </c>
      <c r="C13" s="15"/>
      <c r="D13" s="15"/>
      <c r="E13" s="15"/>
      <c r="F13" s="15"/>
      <c r="G13"/>
      <c r="H13" s="13"/>
      <c r="I13" s="13"/>
      <c r="J13" s="13"/>
      <c r="K13" s="13"/>
      <c r="L13" s="13"/>
      <c r="M13" s="13"/>
      <c r="N13" s="13"/>
      <c r="O13" s="13"/>
      <c r="P13" s="13"/>
      <c r="Q13" s="13"/>
      <c r="R13" s="13"/>
    </row>
    <row r="14" spans="2:18" ht="14.5" x14ac:dyDescent="0.35">
      <c r="B14" s="17" t="s">
        <v>16</v>
      </c>
      <c r="C14" s="15"/>
      <c r="D14" s="15"/>
      <c r="E14" s="15"/>
      <c r="F14" s="15"/>
      <c r="G14"/>
      <c r="H14" s="13"/>
      <c r="I14" s="13"/>
      <c r="J14" s="13"/>
      <c r="K14" s="13"/>
      <c r="L14" s="13"/>
      <c r="M14" s="13"/>
      <c r="N14" s="13"/>
      <c r="O14" s="13"/>
      <c r="P14" s="13"/>
      <c r="Q14" s="13"/>
      <c r="R14" s="13"/>
    </row>
    <row r="15" spans="2:18" ht="14.5" x14ac:dyDescent="0.35">
      <c r="B15" s="16" t="s">
        <v>32</v>
      </c>
      <c r="C15" s="15"/>
      <c r="D15" s="15"/>
      <c r="E15" s="15"/>
      <c r="F15" s="15"/>
      <c r="G15"/>
      <c r="H15" s="13"/>
      <c r="I15" s="13"/>
      <c r="J15" s="13"/>
      <c r="K15" s="13"/>
      <c r="L15" s="13"/>
      <c r="M15" s="13"/>
      <c r="N15" s="13"/>
      <c r="O15" s="13"/>
      <c r="P15" s="13"/>
      <c r="Q15" s="13"/>
      <c r="R15" s="13"/>
    </row>
    <row r="16" spans="2:18" ht="14.5" x14ac:dyDescent="0.35">
      <c r="B16" s="17" t="s">
        <v>16</v>
      </c>
      <c r="C16" s="15"/>
      <c r="D16" s="15"/>
      <c r="E16" s="15"/>
      <c r="F16" s="15"/>
      <c r="G16"/>
      <c r="H16" s="13"/>
      <c r="I16" s="13"/>
      <c r="J16" s="13"/>
      <c r="K16" s="13"/>
      <c r="L16" s="13"/>
      <c r="M16" s="13"/>
      <c r="N16" s="13"/>
      <c r="O16" s="13"/>
      <c r="P16" s="13"/>
      <c r="Q16" s="13"/>
      <c r="R16" s="13"/>
    </row>
    <row r="17" spans="2:18" ht="14.5" x14ac:dyDescent="0.35">
      <c r="B17" s="16" t="s">
        <v>52</v>
      </c>
      <c r="C17" s="15"/>
      <c r="D17" s="15"/>
      <c r="E17" s="15"/>
      <c r="F17" s="15"/>
      <c r="G17"/>
      <c r="H17" s="13"/>
      <c r="I17" s="13"/>
      <c r="J17" s="13"/>
      <c r="K17" s="13"/>
      <c r="L17" s="13"/>
      <c r="M17" s="13"/>
      <c r="N17" s="13"/>
      <c r="O17" s="13"/>
      <c r="P17" s="13"/>
      <c r="Q17" s="13"/>
      <c r="R17" s="13"/>
    </row>
    <row r="18" spans="2:18" ht="14.5" x14ac:dyDescent="0.35">
      <c r="B18" s="17" t="s">
        <v>16</v>
      </c>
      <c r="C18" s="15"/>
      <c r="D18" s="15"/>
      <c r="E18" s="15"/>
      <c r="F18" s="15"/>
      <c r="G18"/>
      <c r="H18" s="13"/>
      <c r="I18" s="13"/>
      <c r="J18" s="13"/>
      <c r="K18" s="13"/>
      <c r="L18" s="13"/>
      <c r="M18" s="13"/>
      <c r="N18" s="13"/>
      <c r="O18" s="13"/>
      <c r="P18" s="13"/>
      <c r="Q18" s="13"/>
      <c r="R18" s="13"/>
    </row>
    <row r="19" spans="2:18" ht="14.5" x14ac:dyDescent="0.35">
      <c r="B19" s="16" t="s">
        <v>53</v>
      </c>
      <c r="C19" s="15"/>
      <c r="D19" s="15"/>
      <c r="E19" s="15"/>
      <c r="F19" s="15"/>
      <c r="G19"/>
      <c r="H19" s="13"/>
      <c r="I19" s="13"/>
      <c r="J19" s="13"/>
      <c r="K19" s="13"/>
      <c r="L19" s="13"/>
      <c r="M19" s="13"/>
      <c r="N19" s="13"/>
      <c r="O19" s="13"/>
      <c r="P19" s="13"/>
      <c r="Q19" s="13"/>
      <c r="R19" s="13"/>
    </row>
    <row r="20" spans="2:18" ht="14.5" x14ac:dyDescent="0.35">
      <c r="B20" s="17" t="s">
        <v>16</v>
      </c>
      <c r="C20" s="15"/>
      <c r="D20" s="15"/>
      <c r="E20" s="15"/>
      <c r="F20" s="15"/>
      <c r="G20"/>
      <c r="H20" s="13"/>
      <c r="I20" s="13"/>
      <c r="J20" s="13"/>
      <c r="K20" s="13"/>
      <c r="L20" s="13"/>
      <c r="M20" s="13"/>
      <c r="N20" s="13"/>
      <c r="O20" s="13"/>
      <c r="P20" s="13"/>
      <c r="Q20" s="13"/>
      <c r="R20" s="13"/>
    </row>
    <row r="21" spans="2:18" ht="14.5" x14ac:dyDescent="0.35">
      <c r="B21" s="16" t="s">
        <v>54</v>
      </c>
      <c r="C21" s="15"/>
      <c r="D21" s="15"/>
      <c r="E21" s="15"/>
      <c r="F21" s="15"/>
      <c r="G21"/>
      <c r="H21" s="13"/>
      <c r="I21" s="13"/>
      <c r="J21" s="13"/>
      <c r="K21" s="13"/>
      <c r="L21" s="13"/>
      <c r="M21" s="13"/>
      <c r="N21" s="13"/>
      <c r="O21" s="13"/>
      <c r="P21" s="13"/>
      <c r="Q21" s="13"/>
      <c r="R21" s="13"/>
    </row>
    <row r="22" spans="2:18" ht="14.5" x14ac:dyDescent="0.35">
      <c r="B22" s="17" t="s">
        <v>16</v>
      </c>
      <c r="C22" s="15"/>
      <c r="D22" s="15"/>
      <c r="E22" s="15"/>
      <c r="F22" s="15"/>
      <c r="G22"/>
      <c r="H22" s="13"/>
      <c r="I22" s="13"/>
      <c r="J22" s="13"/>
      <c r="K22" s="13"/>
      <c r="L22" s="13"/>
      <c r="M22" s="13"/>
      <c r="N22" s="13"/>
      <c r="O22" s="13"/>
      <c r="P22" s="13"/>
      <c r="Q22" s="13"/>
      <c r="R22" s="13"/>
    </row>
    <row r="23" spans="2:18" ht="14.5" x14ac:dyDescent="0.35">
      <c r="B23" s="16" t="s">
        <v>55</v>
      </c>
      <c r="C23" s="15"/>
      <c r="D23" s="15"/>
      <c r="E23" s="15"/>
      <c r="F23" s="15"/>
      <c r="G23"/>
      <c r="H23" s="13"/>
      <c r="I23" s="13"/>
      <c r="J23" s="13"/>
      <c r="K23" s="13"/>
      <c r="L23" s="13"/>
      <c r="M23" s="13"/>
      <c r="N23" s="13"/>
      <c r="O23" s="13"/>
      <c r="P23" s="13"/>
      <c r="Q23" s="13"/>
      <c r="R23" s="13"/>
    </row>
    <row r="24" spans="2:18" ht="14.5" x14ac:dyDescent="0.35">
      <c r="B24" s="17" t="s">
        <v>16</v>
      </c>
      <c r="C24" s="15"/>
      <c r="D24" s="15"/>
      <c r="E24" s="15"/>
      <c r="F24" s="15"/>
      <c r="G24"/>
      <c r="H24" s="13"/>
      <c r="I24" s="13"/>
      <c r="J24" s="13"/>
      <c r="K24" s="13"/>
      <c r="L24" s="13"/>
      <c r="M24" s="13"/>
      <c r="N24" s="13"/>
      <c r="O24" s="13"/>
      <c r="P24" s="13"/>
      <c r="Q24" s="13"/>
      <c r="R24" s="13"/>
    </row>
    <row r="25" spans="2:18" ht="14.5" x14ac:dyDescent="0.35">
      <c r="B25" s="16" t="s">
        <v>56</v>
      </c>
      <c r="C25" s="15"/>
      <c r="D25" s="15"/>
      <c r="E25" s="15"/>
      <c r="F25" s="15"/>
      <c r="G25"/>
      <c r="H25" s="13"/>
      <c r="I25" s="13"/>
    </row>
    <row r="26" spans="2:18" ht="14.5" x14ac:dyDescent="0.35">
      <c r="B26" s="17" t="s">
        <v>16</v>
      </c>
      <c r="C26" s="15"/>
      <c r="D26" s="15"/>
      <c r="E26" s="15"/>
      <c r="F26" s="15"/>
      <c r="G26"/>
      <c r="H26" s="13"/>
      <c r="I26" s="13"/>
    </row>
    <row r="27" spans="2:18" ht="14.5" x14ac:dyDescent="0.35">
      <c r="B27" s="16" t="s">
        <v>37</v>
      </c>
      <c r="C27" s="15">
        <v>1000000</v>
      </c>
      <c r="D27" s="15"/>
      <c r="E27" s="15"/>
      <c r="F27" s="15">
        <v>1000000</v>
      </c>
      <c r="G27"/>
      <c r="H27" s="13"/>
      <c r="I27" s="13"/>
    </row>
    <row r="28" spans="2:18" ht="14.5" x14ac:dyDescent="0.35">
      <c r="B28"/>
      <c r="C28"/>
      <c r="D28"/>
      <c r="E28"/>
      <c r="F28"/>
      <c r="G28"/>
      <c r="H28" s="13"/>
      <c r="I28" s="13"/>
    </row>
    <row r="29" spans="2:18" ht="14.5" x14ac:dyDescent="0.35">
      <c r="B29"/>
      <c r="C29"/>
      <c r="D29"/>
      <c r="E29"/>
      <c r="F29"/>
      <c r="G29"/>
      <c r="H29" s="13"/>
      <c r="I29" s="13"/>
    </row>
    <row r="30" spans="2:18" ht="14.5" x14ac:dyDescent="0.35">
      <c r="B30"/>
      <c r="C30"/>
      <c r="D30"/>
      <c r="E30"/>
      <c r="F30"/>
      <c r="G30"/>
      <c r="H30" s="13"/>
      <c r="I30" s="13"/>
    </row>
    <row r="31" spans="2:18" ht="14.5" x14ac:dyDescent="0.35">
      <c r="B31"/>
      <c r="C31"/>
      <c r="D31"/>
      <c r="E31"/>
      <c r="F31"/>
      <c r="G31"/>
      <c r="H31" s="13"/>
      <c r="I31" s="13"/>
    </row>
    <row r="32" spans="2:18" ht="14.5" x14ac:dyDescent="0.35">
      <c r="B32"/>
      <c r="C32"/>
      <c r="D32"/>
      <c r="E32"/>
      <c r="F32"/>
      <c r="G32"/>
      <c r="H32" s="13"/>
      <c r="I32" s="13"/>
    </row>
    <row r="33" spans="2:9" ht="14.5" x14ac:dyDescent="0.35">
      <c r="B33" s="13"/>
      <c r="C33" s="13"/>
      <c r="D33" s="13"/>
      <c r="E33" s="13"/>
      <c r="F33" s="13"/>
      <c r="G33" s="13"/>
      <c r="H33" s="13"/>
      <c r="I33" s="13"/>
    </row>
    <row r="34" spans="2:9" ht="14.5" x14ac:dyDescent="0.35">
      <c r="B34" s="13"/>
      <c r="C34" s="13"/>
      <c r="D34" s="13"/>
      <c r="E34" s="13"/>
      <c r="F34" s="13"/>
      <c r="G34" s="13"/>
      <c r="H34" s="13"/>
      <c r="I34" s="13"/>
    </row>
    <row r="35" spans="2:9" ht="14.5" x14ac:dyDescent="0.35">
      <c r="B35" s="13"/>
      <c r="C35" s="13"/>
      <c r="D35" s="13"/>
      <c r="E35" s="13"/>
      <c r="F35" s="13"/>
      <c r="G35" s="13"/>
      <c r="H35" s="13"/>
      <c r="I35" s="13"/>
    </row>
    <row r="36" spans="2:9" ht="14.5" x14ac:dyDescent="0.35">
      <c r="B36" s="13"/>
      <c r="C36" s="13"/>
      <c r="D36" s="13"/>
      <c r="E36" s="13"/>
      <c r="F36" s="13"/>
      <c r="G36" s="13"/>
      <c r="H36" s="13"/>
      <c r="I36" s="13"/>
    </row>
    <row r="37" spans="2:9" ht="14.5" x14ac:dyDescent="0.35">
      <c r="B37" s="13"/>
      <c r="C37" s="13"/>
      <c r="D37" s="13"/>
      <c r="E37" s="13"/>
      <c r="F37" s="13"/>
      <c r="G37" s="13"/>
      <c r="H37" s="13"/>
      <c r="I37" s="13"/>
    </row>
    <row r="38" spans="2:9" ht="14.5" x14ac:dyDescent="0.35">
      <c r="B38" s="13"/>
      <c r="C38" s="13"/>
      <c r="D38" s="13"/>
      <c r="E38" s="13"/>
      <c r="F38" s="13"/>
      <c r="G38" s="13"/>
      <c r="H38" s="13"/>
      <c r="I38" s="13"/>
    </row>
    <row r="39" spans="2:9" ht="14.5" x14ac:dyDescent="0.35">
      <c r="B39" s="13"/>
      <c r="C39" s="13"/>
      <c r="D39" s="13"/>
      <c r="E39" s="13"/>
      <c r="F39" s="13"/>
      <c r="G39" s="13"/>
      <c r="H39" s="13"/>
      <c r="I39" s="13"/>
    </row>
    <row r="40" spans="2:9" ht="14.5" x14ac:dyDescent="0.35">
      <c r="B40" s="13"/>
      <c r="C40" s="13"/>
      <c r="D40" s="13"/>
      <c r="E40" s="13"/>
      <c r="F40" s="13"/>
      <c r="G40" s="13"/>
      <c r="H40" s="13"/>
      <c r="I40" s="13"/>
    </row>
    <row r="41" spans="2:9" ht="14.5" x14ac:dyDescent="0.35">
      <c r="B41" s="13"/>
      <c r="C41" s="13"/>
      <c r="D41" s="13"/>
      <c r="E41" s="13"/>
      <c r="F41" s="13"/>
      <c r="G41" s="13"/>
      <c r="H41" s="13"/>
      <c r="I41" s="13"/>
    </row>
    <row r="42" spans="2:9" ht="14.5" x14ac:dyDescent="0.35">
      <c r="B42" s="13"/>
      <c r="C42" s="13"/>
      <c r="D42" s="13"/>
      <c r="E42" s="13"/>
      <c r="F42" s="13"/>
      <c r="G42" s="13"/>
      <c r="H42" s="13"/>
      <c r="I42" s="13"/>
    </row>
    <row r="43" spans="2:9" ht="14.5" x14ac:dyDescent="0.35">
      <c r="B43" s="13"/>
      <c r="C43" s="13"/>
      <c r="D43" s="13"/>
      <c r="E43" s="13"/>
      <c r="F43" s="13"/>
      <c r="G43" s="13"/>
      <c r="H43" s="13"/>
      <c r="I43" s="13"/>
    </row>
    <row r="44" spans="2:9" ht="14.5" x14ac:dyDescent="0.35">
      <c r="B44" s="13"/>
      <c r="C44" s="13"/>
      <c r="D44" s="13"/>
      <c r="E44" s="13"/>
      <c r="F44" s="13"/>
      <c r="G44" s="13"/>
      <c r="H44" s="13"/>
      <c r="I44" s="13"/>
    </row>
    <row r="45" spans="2:9" ht="14.5" x14ac:dyDescent="0.35">
      <c r="B45" s="13"/>
      <c r="C45" s="13"/>
      <c r="D45" s="13"/>
      <c r="E45" s="13"/>
      <c r="F45" s="13"/>
      <c r="G45" s="13"/>
      <c r="H45" s="13"/>
      <c r="I45" s="13"/>
    </row>
    <row r="46" spans="2:9" ht="14.5" x14ac:dyDescent="0.35">
      <c r="B46" s="13"/>
      <c r="C46" s="13"/>
      <c r="D46" s="13"/>
      <c r="E46" s="13"/>
      <c r="F46" s="13"/>
      <c r="G46" s="13"/>
      <c r="H46" s="13"/>
      <c r="I46" s="13"/>
    </row>
    <row r="47" spans="2:9" ht="14.5" x14ac:dyDescent="0.35">
      <c r="B47" s="13"/>
      <c r="C47" s="13"/>
      <c r="D47" s="13"/>
      <c r="E47" s="13"/>
      <c r="F47" s="13"/>
      <c r="G47" s="13"/>
      <c r="H47" s="13"/>
      <c r="I47" s="13"/>
    </row>
    <row r="48" spans="2:9" ht="14.5" x14ac:dyDescent="0.35">
      <c r="B48" s="13"/>
      <c r="C48" s="13"/>
      <c r="D48" s="13"/>
      <c r="E48" s="13"/>
      <c r="F48" s="13"/>
      <c r="G48" s="13"/>
      <c r="H48" s="13"/>
      <c r="I48" s="13"/>
    </row>
    <row r="49" spans="2:9" ht="14.5" x14ac:dyDescent="0.35">
      <c r="B49" s="13"/>
      <c r="C49" s="13"/>
      <c r="D49" s="13"/>
      <c r="E49" s="13"/>
      <c r="F49" s="13"/>
      <c r="G49" s="13"/>
      <c r="H49" s="13"/>
      <c r="I49" s="13"/>
    </row>
    <row r="50" spans="2:9" ht="14.5" x14ac:dyDescent="0.35">
      <c r="B50" s="13"/>
      <c r="C50" s="13"/>
      <c r="D50" s="13"/>
      <c r="E50" s="13"/>
      <c r="F50" s="13"/>
      <c r="G50" s="13"/>
      <c r="H50" s="13"/>
      <c r="I50" s="13"/>
    </row>
    <row r="51" spans="2:9" ht="14.5" x14ac:dyDescent="0.35">
      <c r="B51" s="13"/>
      <c r="C51" s="13"/>
      <c r="D51" s="13"/>
      <c r="E51" s="13"/>
      <c r="F51" s="13"/>
      <c r="G51" s="13"/>
      <c r="H51" s="13"/>
      <c r="I51" s="13"/>
    </row>
    <row r="52" spans="2:9" ht="14.5" x14ac:dyDescent="0.35">
      <c r="B52" s="13"/>
      <c r="C52" s="13"/>
      <c r="D52" s="13"/>
      <c r="E52" s="13"/>
      <c r="F52" s="13"/>
      <c r="G52" s="13"/>
      <c r="H52" s="13"/>
      <c r="I52" s="13"/>
    </row>
    <row r="53" spans="2:9" ht="14.5" x14ac:dyDescent="0.35">
      <c r="B53" s="13"/>
      <c r="C53" s="13"/>
      <c r="D53" s="13"/>
      <c r="E53" s="13"/>
      <c r="F53" s="13"/>
      <c r="G53" s="13"/>
      <c r="H53" s="13"/>
      <c r="I53" s="13"/>
    </row>
    <row r="54" spans="2:9" ht="14.5" x14ac:dyDescent="0.35">
      <c r="B54" s="13"/>
      <c r="C54" s="13"/>
      <c r="D54" s="13"/>
      <c r="E54" s="13"/>
      <c r="F54" s="13"/>
      <c r="G54" s="13"/>
      <c r="H54" s="13"/>
      <c r="I54" s="13"/>
    </row>
    <row r="55" spans="2:9" ht="14.5" x14ac:dyDescent="0.35">
      <c r="B55" s="13"/>
      <c r="C55" s="13"/>
      <c r="D55" s="13"/>
      <c r="E55" s="13"/>
      <c r="F55" s="13"/>
      <c r="G55" s="13"/>
      <c r="H55" s="13"/>
      <c r="I55" s="13"/>
    </row>
    <row r="56" spans="2:9" ht="14.5" x14ac:dyDescent="0.35">
      <c r="B56" s="13"/>
      <c r="C56" s="13"/>
      <c r="D56" s="13"/>
      <c r="E56" s="13"/>
      <c r="F56" s="13"/>
      <c r="G56" s="13"/>
      <c r="H56" s="13"/>
      <c r="I56" s="13"/>
    </row>
    <row r="57" spans="2:9" ht="14.5" x14ac:dyDescent="0.35">
      <c r="B57" s="13"/>
      <c r="C57" s="13"/>
      <c r="D57" s="13"/>
      <c r="E57" s="13"/>
      <c r="F57" s="13"/>
      <c r="G57" s="13"/>
      <c r="H57" s="13"/>
      <c r="I57" s="13"/>
    </row>
    <row r="58" spans="2:9" ht="14.5" x14ac:dyDescent="0.35">
      <c r="B58" s="13"/>
      <c r="C58" s="13"/>
      <c r="D58" s="13"/>
      <c r="E58" s="13"/>
      <c r="F58" s="13"/>
      <c r="G58" s="13"/>
      <c r="H58" s="13"/>
      <c r="I58" s="13"/>
    </row>
    <row r="59" spans="2:9" ht="14.5" x14ac:dyDescent="0.35">
      <c r="B59" s="13"/>
      <c r="C59" s="13"/>
      <c r="D59" s="13"/>
      <c r="E59" s="13"/>
      <c r="F59" s="13"/>
      <c r="G59" s="13"/>
      <c r="H59" s="13"/>
      <c r="I59" s="13"/>
    </row>
    <row r="60" spans="2:9" ht="14.5" x14ac:dyDescent="0.35">
      <c r="B60" s="13"/>
      <c r="C60" s="13"/>
      <c r="D60" s="13"/>
      <c r="E60" s="13"/>
      <c r="F60" s="13"/>
      <c r="G60" s="13"/>
      <c r="H60" s="13"/>
      <c r="I60" s="13"/>
    </row>
    <row r="61" spans="2:9" ht="14.5" x14ac:dyDescent="0.35">
      <c r="B61" s="13"/>
      <c r="C61" s="13"/>
      <c r="D61" s="13"/>
      <c r="E61" s="13"/>
      <c r="F61" s="13"/>
      <c r="G61" s="13"/>
      <c r="H61" s="13"/>
      <c r="I61" s="13"/>
    </row>
    <row r="62" spans="2:9" ht="14.5" x14ac:dyDescent="0.35">
      <c r="B62" s="13"/>
      <c r="C62" s="13"/>
      <c r="D62" s="13"/>
      <c r="E62" s="13"/>
      <c r="F62" s="13"/>
      <c r="G62" s="13"/>
      <c r="H62" s="13"/>
      <c r="I62" s="13"/>
    </row>
    <row r="63" spans="2:9" ht="14.5" x14ac:dyDescent="0.35">
      <c r="B63" s="13"/>
      <c r="C63" s="13"/>
      <c r="D63" s="13"/>
      <c r="E63" s="13"/>
      <c r="F63" s="13"/>
      <c r="G63" s="13"/>
      <c r="H63" s="13"/>
      <c r="I63" s="13"/>
    </row>
    <row r="64" spans="2:9" ht="14.5" x14ac:dyDescent="0.35">
      <c r="B64" s="13"/>
      <c r="C64" s="13"/>
      <c r="D64" s="13"/>
      <c r="E64" s="13"/>
      <c r="F64" s="13"/>
      <c r="G64" s="13"/>
      <c r="H64" s="13"/>
      <c r="I64" s="13"/>
    </row>
    <row r="65" spans="2:9" ht="14.5" x14ac:dyDescent="0.35">
      <c r="B65" s="13"/>
      <c r="C65" s="13"/>
      <c r="D65" s="13"/>
      <c r="E65" s="13"/>
      <c r="F65" s="13"/>
      <c r="G65" s="13"/>
      <c r="H65" s="13"/>
      <c r="I65" s="13"/>
    </row>
    <row r="66" spans="2:9" ht="14.5" x14ac:dyDescent="0.35">
      <c r="B66" s="13"/>
      <c r="C66" s="13"/>
      <c r="D66" s="13"/>
      <c r="E66" s="13"/>
      <c r="F66" s="13"/>
      <c r="G66" s="13"/>
      <c r="H66" s="13"/>
      <c r="I66" s="13"/>
    </row>
    <row r="67" spans="2:9" ht="14.5" x14ac:dyDescent="0.35">
      <c r="B67" s="13"/>
      <c r="C67" s="13"/>
      <c r="D67" s="13"/>
      <c r="E67" s="13"/>
      <c r="F67" s="13"/>
      <c r="G67" s="13"/>
      <c r="H67" s="13"/>
      <c r="I67" s="13"/>
    </row>
    <row r="68" spans="2:9" ht="14.5" x14ac:dyDescent="0.35">
      <c r="B68" s="13"/>
      <c r="C68" s="13"/>
      <c r="D68" s="13"/>
      <c r="E68" s="13"/>
      <c r="F68" s="13"/>
      <c r="G68" s="13"/>
      <c r="H68" s="13"/>
      <c r="I68" s="13"/>
    </row>
    <row r="69" spans="2:9" ht="14.5" x14ac:dyDescent="0.35">
      <c r="B69" s="13"/>
      <c r="C69" s="13"/>
      <c r="D69" s="13"/>
      <c r="E69" s="13"/>
      <c r="F69" s="13"/>
      <c r="G69" s="13"/>
      <c r="H69" s="13"/>
      <c r="I69" s="13"/>
    </row>
    <row r="70" spans="2:9" ht="14.5" x14ac:dyDescent="0.35">
      <c r="B70" s="13"/>
      <c r="C70" s="13"/>
      <c r="D70" s="13"/>
      <c r="E70" s="13"/>
      <c r="F70" s="13"/>
      <c r="G70" s="13"/>
      <c r="H70" s="13"/>
      <c r="I70" s="13"/>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F8604-6961-49C9-92EB-656F0BD52786}">
  <sheetPr codeName="Sheet5">
    <pageSetUpPr fitToPage="1"/>
  </sheetPr>
  <dimension ref="B1:R42"/>
  <sheetViews>
    <sheetView showGridLines="0" zoomScale="70" zoomScaleNormal="70" workbookViewId="0">
      <pane xSplit="7" ySplit="3" topLeftCell="J4" activePane="bottomRight" state="frozen"/>
      <selection pane="topRight" activeCell="F1" sqref="F1"/>
      <selection pane="bottomLeft" activeCell="A4" sqref="A4"/>
      <selection pane="bottomRight" activeCell="O4" sqref="O4:R5"/>
    </sheetView>
  </sheetViews>
  <sheetFormatPr defaultColWidth="9.1796875" defaultRowHeight="14" x14ac:dyDescent="0.35"/>
  <cols>
    <col min="1" max="1" width="5.1796875" style="1" customWidth="1"/>
    <col min="2" max="2" width="30.26953125" style="1" customWidth="1"/>
    <col min="3" max="3" width="21.54296875" style="1" customWidth="1"/>
    <col min="4" max="4" width="15.26953125" style="1" customWidth="1"/>
    <col min="5" max="5" width="10.1796875" style="8" customWidth="1"/>
    <col min="6" max="6" width="42.1796875" style="8" customWidth="1"/>
    <col min="7" max="7" width="21.81640625" style="1" customWidth="1"/>
    <col min="8" max="8" width="24.453125" style="1" bestFit="1" customWidth="1"/>
    <col min="9" max="9" width="28.26953125" style="1" customWidth="1"/>
    <col min="10" max="10" width="20.26953125" style="1" customWidth="1"/>
    <col min="11" max="11" width="30.7265625" style="1" customWidth="1"/>
    <col min="12" max="12" width="25.7265625" style="1" customWidth="1"/>
    <col min="13" max="13" width="29.1796875" style="1" customWidth="1"/>
    <col min="14" max="14" width="17.7265625" style="2" customWidth="1"/>
    <col min="15" max="15" width="15.26953125" style="6" customWidth="1"/>
    <col min="16" max="16" width="13.7265625" style="6" customWidth="1"/>
    <col min="17" max="17" width="26.26953125" style="5" customWidth="1"/>
    <col min="18" max="18" width="24.7265625" style="5" bestFit="1" customWidth="1"/>
    <col min="19" max="16384" width="9.1796875" style="1"/>
  </cols>
  <sheetData>
    <row r="1" spans="2:18" ht="24.5" x14ac:dyDescent="0.35">
      <c r="B1" s="11" t="s">
        <v>103</v>
      </c>
    </row>
    <row r="2" spans="2:18" x14ac:dyDescent="0.35">
      <c r="B2" s="3"/>
    </row>
    <row r="3" spans="2:18" ht="42" x14ac:dyDescent="0.35">
      <c r="B3" s="1" t="s">
        <v>1</v>
      </c>
      <c r="C3" s="1" t="s">
        <v>81</v>
      </c>
      <c r="D3" s="1" t="s">
        <v>2</v>
      </c>
      <c r="E3" s="8" t="s">
        <v>10</v>
      </c>
      <c r="F3" s="8" t="s">
        <v>105</v>
      </c>
      <c r="G3" s="1" t="s">
        <v>3</v>
      </c>
      <c r="H3" s="1" t="s">
        <v>4</v>
      </c>
      <c r="I3" s="1" t="s">
        <v>11</v>
      </c>
      <c r="J3" s="1" t="s">
        <v>12</v>
      </c>
      <c r="K3" s="1" t="s">
        <v>13</v>
      </c>
      <c r="L3" s="43" t="s">
        <v>5</v>
      </c>
      <c r="M3" s="1" t="s">
        <v>9</v>
      </c>
      <c r="N3" s="2" t="s">
        <v>6</v>
      </c>
      <c r="O3" s="6" t="s">
        <v>82</v>
      </c>
      <c r="P3" s="6" t="s">
        <v>29</v>
      </c>
      <c r="Q3" s="5" t="s">
        <v>7</v>
      </c>
      <c r="R3" s="5" t="s">
        <v>8</v>
      </c>
    </row>
    <row r="4" spans="2:18" ht="47.25" customHeight="1" x14ac:dyDescent="0.35">
      <c r="B4" s="1" t="s">
        <v>52</v>
      </c>
      <c r="C4" s="1">
        <v>2024</v>
      </c>
      <c r="D4" s="1" t="s">
        <v>48</v>
      </c>
      <c r="E4" s="8">
        <f>VLOOKUP(DATABASE45[[#This Row],[BANK]],BFR[#All],2,FALSE)</f>
        <v>6.4000000000000001E-2</v>
      </c>
      <c r="F4" s="8" t="s">
        <v>106</v>
      </c>
      <c r="G4" s="1" t="s">
        <v>111</v>
      </c>
      <c r="K4" s="40"/>
      <c r="L4" s="42" t="s">
        <v>75</v>
      </c>
      <c r="M4" s="1" t="s">
        <v>77</v>
      </c>
      <c r="N4" s="2">
        <v>0.8</v>
      </c>
      <c r="O4" s="6" t="s">
        <v>104</v>
      </c>
      <c r="P4" s="6" t="s">
        <v>104</v>
      </c>
      <c r="Q4" s="5">
        <v>2000000</v>
      </c>
    </row>
    <row r="5" spans="2:18" ht="135.75" customHeight="1" x14ac:dyDescent="0.35">
      <c r="B5" s="1" t="s">
        <v>52</v>
      </c>
      <c r="C5" s="1">
        <v>2024</v>
      </c>
      <c r="D5" s="1" t="s">
        <v>83</v>
      </c>
      <c r="E5" s="8">
        <f>VLOOKUP(DATABASE45[[#This Row],[BANK]],BFR[#All],2,FALSE)</f>
        <v>6.5600000000000006E-2</v>
      </c>
      <c r="F5" s="8" t="s">
        <v>106</v>
      </c>
      <c r="G5" s="1" t="s">
        <v>111</v>
      </c>
      <c r="H5" s="1" t="s">
        <v>112</v>
      </c>
      <c r="I5" s="1" t="s">
        <v>113</v>
      </c>
      <c r="J5" s="1" t="s">
        <v>107</v>
      </c>
      <c r="K5" s="40" t="s">
        <v>108</v>
      </c>
      <c r="L5" s="41" t="s">
        <v>75</v>
      </c>
      <c r="M5" s="1" t="s">
        <v>109</v>
      </c>
      <c r="N5" s="2">
        <v>0.1</v>
      </c>
      <c r="P5" s="6" t="s">
        <v>110</v>
      </c>
      <c r="Q5" s="5">
        <v>5000000</v>
      </c>
    </row>
    <row r="6" spans="2:18" ht="114" hidden="1" customHeight="1" x14ac:dyDescent="0.35">
      <c r="C6" s="1">
        <v>2024</v>
      </c>
      <c r="D6" s="1" t="s">
        <v>96</v>
      </c>
      <c r="E6" s="8">
        <f>VLOOKUP(DATABASE45[[#This Row],[BANK]],BFR[#All],2,FALSE)</f>
        <v>6.5699999999999995E-2</v>
      </c>
      <c r="K6" s="1" t="s">
        <v>23</v>
      </c>
      <c r="L6" s="25" t="s">
        <v>75</v>
      </c>
    </row>
    <row r="7" spans="2:18" ht="42" hidden="1" x14ac:dyDescent="0.35">
      <c r="B7" s="1" t="s">
        <v>51</v>
      </c>
      <c r="C7" s="1">
        <v>2022</v>
      </c>
      <c r="D7" s="1" t="s">
        <v>48</v>
      </c>
      <c r="E7" s="8">
        <f>VLOOKUP(DATABASE45[[#This Row],[BANK]],BFR[#All],2,FALSE)</f>
        <v>6.4000000000000001E-2</v>
      </c>
      <c r="G7" s="1" t="s">
        <v>16</v>
      </c>
      <c r="H7" s="1" t="s">
        <v>50</v>
      </c>
      <c r="I7" s="4"/>
      <c r="J7" s="1" t="s">
        <v>67</v>
      </c>
      <c r="K7" s="1" t="s">
        <v>68</v>
      </c>
      <c r="L7" s="10" t="s">
        <v>80</v>
      </c>
      <c r="M7" s="1" t="s">
        <v>78</v>
      </c>
      <c r="N7" s="2">
        <v>0.1</v>
      </c>
      <c r="P7" s="6">
        <v>44802</v>
      </c>
      <c r="Q7" s="5">
        <v>1000000</v>
      </c>
    </row>
    <row r="8" spans="2:18" ht="42" hidden="1" x14ac:dyDescent="0.35">
      <c r="B8" s="1" t="s">
        <v>30</v>
      </c>
      <c r="C8" s="1">
        <v>2022</v>
      </c>
      <c r="D8" s="1" t="s">
        <v>48</v>
      </c>
      <c r="E8" s="8">
        <f>VLOOKUP(DATABASE45[[#This Row],[BANK]],BFR[#All],2,FALSE)</f>
        <v>6.4000000000000001E-2</v>
      </c>
      <c r="G8" s="8" t="s">
        <v>16</v>
      </c>
      <c r="H8" s="1" t="s">
        <v>50</v>
      </c>
      <c r="I8" s="4"/>
      <c r="J8" s="1" t="s">
        <v>67</v>
      </c>
      <c r="K8" s="1" t="s">
        <v>68</v>
      </c>
      <c r="L8" s="10" t="s">
        <v>80</v>
      </c>
      <c r="M8" s="1" t="s">
        <v>78</v>
      </c>
      <c r="N8" s="2">
        <v>0.1</v>
      </c>
      <c r="P8" s="6">
        <v>44802</v>
      </c>
      <c r="Q8" s="5">
        <v>1000000</v>
      </c>
    </row>
    <row r="9" spans="2:18" ht="42" hidden="1" x14ac:dyDescent="0.35">
      <c r="B9" s="1" t="s">
        <v>19</v>
      </c>
      <c r="C9" s="1">
        <v>2022</v>
      </c>
      <c r="D9" s="1" t="s">
        <v>48</v>
      </c>
      <c r="E9" s="8">
        <f>VLOOKUP(DATABASE45[[#This Row],[BANK]],BFR[#All],2,FALSE)</f>
        <v>6.4000000000000001E-2</v>
      </c>
      <c r="G9" s="1" t="s">
        <v>16</v>
      </c>
      <c r="H9" s="1" t="s">
        <v>50</v>
      </c>
      <c r="I9" s="4"/>
      <c r="J9" s="1" t="s">
        <v>67</v>
      </c>
      <c r="K9" s="1" t="s">
        <v>68</v>
      </c>
      <c r="L9" s="10" t="s">
        <v>80</v>
      </c>
      <c r="M9" s="1" t="s">
        <v>78</v>
      </c>
      <c r="N9" s="2">
        <v>0.1</v>
      </c>
      <c r="P9" s="6">
        <v>44802</v>
      </c>
      <c r="Q9" s="5">
        <v>1000000</v>
      </c>
    </row>
    <row r="10" spans="2:18" ht="42" hidden="1" x14ac:dyDescent="0.35">
      <c r="B10" s="1" t="s">
        <v>28</v>
      </c>
      <c r="C10" s="1">
        <v>2022</v>
      </c>
      <c r="D10" s="1" t="s">
        <v>48</v>
      </c>
      <c r="E10" s="8">
        <f>VLOOKUP(DATABASE45[[#This Row],[BANK]],BFR[#All],2,FALSE)</f>
        <v>6.4000000000000001E-2</v>
      </c>
      <c r="G10" s="1" t="s">
        <v>16</v>
      </c>
      <c r="H10" s="1" t="s">
        <v>50</v>
      </c>
      <c r="I10" s="4"/>
      <c r="J10" s="1" t="s">
        <v>67</v>
      </c>
      <c r="K10" s="1" t="s">
        <v>68</v>
      </c>
      <c r="L10" s="10" t="s">
        <v>80</v>
      </c>
      <c r="M10" s="1" t="s">
        <v>78</v>
      </c>
      <c r="N10" s="2">
        <v>0.1</v>
      </c>
      <c r="P10" s="6">
        <v>44802</v>
      </c>
      <c r="Q10" s="5">
        <v>1000000</v>
      </c>
    </row>
    <row r="11" spans="2:18" ht="70" hidden="1" x14ac:dyDescent="0.35">
      <c r="B11" s="1" t="s">
        <v>14</v>
      </c>
      <c r="C11" s="1">
        <v>2022</v>
      </c>
      <c r="D11" s="1" t="s">
        <v>40</v>
      </c>
      <c r="E11" s="8">
        <f>VLOOKUP(DATABASE45[[#This Row],[BANK]],BFR[#All],2,FALSE)</f>
        <v>6.7500000000000004E-2</v>
      </c>
      <c r="G11" s="1" t="s">
        <v>46</v>
      </c>
      <c r="H11" s="1" t="s">
        <v>42</v>
      </c>
      <c r="I11" s="1" t="s">
        <v>58</v>
      </c>
      <c r="J11" s="1" t="s">
        <v>59</v>
      </c>
      <c r="K11" s="1" t="s">
        <v>60</v>
      </c>
      <c r="L11" s="10" t="s">
        <v>80</v>
      </c>
      <c r="M11" s="1" t="s">
        <v>76</v>
      </c>
      <c r="N11" s="2">
        <v>0.1</v>
      </c>
      <c r="P11" s="6">
        <v>44798</v>
      </c>
      <c r="Q11" s="5">
        <v>1000000</v>
      </c>
    </row>
    <row r="12" spans="2:18" ht="98" hidden="1" x14ac:dyDescent="0.35">
      <c r="B12" s="1" t="s">
        <v>14</v>
      </c>
      <c r="C12" s="1">
        <v>2022</v>
      </c>
      <c r="D12" s="1" t="s">
        <v>40</v>
      </c>
      <c r="E12" s="8">
        <f>VLOOKUP(DATABASE45[[#This Row],[BANK]],BFR[#All],2,FALSE)</f>
        <v>6.7500000000000004E-2</v>
      </c>
      <c r="G12" s="1" t="s">
        <v>47</v>
      </c>
      <c r="H12" s="1" t="s">
        <v>43</v>
      </c>
      <c r="I12" s="1" t="s">
        <v>61</v>
      </c>
      <c r="J12" s="1">
        <v>0.04</v>
      </c>
      <c r="K12" s="1" t="s">
        <v>62</v>
      </c>
      <c r="L12" s="10" t="s">
        <v>80</v>
      </c>
      <c r="M12" s="1" t="s">
        <v>76</v>
      </c>
      <c r="N12" s="2">
        <v>0.1</v>
      </c>
      <c r="P12" s="6">
        <v>44798</v>
      </c>
      <c r="Q12" s="5">
        <v>1000000</v>
      </c>
    </row>
    <row r="13" spans="2:18" ht="42" hidden="1" x14ac:dyDescent="0.35">
      <c r="B13" s="1" t="s">
        <v>14</v>
      </c>
      <c r="C13" s="1">
        <v>2022</v>
      </c>
      <c r="D13" s="1" t="s">
        <v>40</v>
      </c>
      <c r="E13" s="8">
        <f>VLOOKUP(DATABASE45[[#This Row],[BANK]],BFR[#All],2,FALSE)</f>
        <v>6.7500000000000004E-2</v>
      </c>
      <c r="G13" s="1" t="s">
        <v>41</v>
      </c>
      <c r="H13" s="1" t="s">
        <v>44</v>
      </c>
      <c r="I13" s="1" t="s">
        <v>63</v>
      </c>
      <c r="J13" s="1" t="s">
        <v>59</v>
      </c>
      <c r="K13" s="1" t="s">
        <v>62</v>
      </c>
      <c r="L13" s="10" t="s">
        <v>80</v>
      </c>
      <c r="M13" s="1" t="s">
        <v>76</v>
      </c>
      <c r="N13" s="2">
        <v>0.1</v>
      </c>
      <c r="P13" s="6">
        <v>44798</v>
      </c>
      <c r="Q13" s="5">
        <v>10000000</v>
      </c>
    </row>
    <row r="14" spans="2:18" ht="28" hidden="1" x14ac:dyDescent="0.35">
      <c r="B14" s="1" t="s">
        <v>14</v>
      </c>
      <c r="C14" s="1">
        <v>2022</v>
      </c>
      <c r="D14" s="1" t="s">
        <v>40</v>
      </c>
      <c r="E14" s="8">
        <f>VLOOKUP(DATABASE45[[#This Row],[BANK]],BFR[#All],2,FALSE)</f>
        <v>6.7500000000000004E-2</v>
      </c>
      <c r="G14" s="1" t="s">
        <v>16</v>
      </c>
      <c r="H14" s="1" t="s">
        <v>45</v>
      </c>
      <c r="I14" s="1" t="s">
        <v>64</v>
      </c>
      <c r="J14" s="1" t="s">
        <v>65</v>
      </c>
      <c r="K14" s="1" t="s">
        <v>66</v>
      </c>
      <c r="L14" s="10" t="s">
        <v>80</v>
      </c>
      <c r="M14" s="1" t="s">
        <v>76</v>
      </c>
      <c r="N14" s="2">
        <v>0.1</v>
      </c>
      <c r="P14" s="6">
        <v>44798</v>
      </c>
      <c r="Q14" s="5">
        <v>20000000</v>
      </c>
    </row>
    <row r="15" spans="2:18" ht="70" hidden="1" x14ac:dyDescent="0.35">
      <c r="B15" s="1" t="s">
        <v>18</v>
      </c>
      <c r="C15" s="1">
        <v>2022</v>
      </c>
      <c r="D15" s="1" t="s">
        <v>40</v>
      </c>
      <c r="E15" s="8">
        <f>VLOOKUP(DATABASE45[[#This Row],[BANK]],BFR[#All],2,FALSE)</f>
        <v>6.7500000000000004E-2</v>
      </c>
      <c r="G15" s="1" t="s">
        <v>46</v>
      </c>
      <c r="H15" s="1" t="s">
        <v>42</v>
      </c>
      <c r="I15" s="1" t="s">
        <v>58</v>
      </c>
      <c r="J15" s="1" t="s">
        <v>59</v>
      </c>
      <c r="K15" s="1" t="s">
        <v>60</v>
      </c>
      <c r="L15" s="10" t="s">
        <v>80</v>
      </c>
      <c r="M15" s="1" t="s">
        <v>76</v>
      </c>
      <c r="N15" s="2">
        <v>0.1</v>
      </c>
      <c r="P15" s="6">
        <v>44798</v>
      </c>
      <c r="Q15" s="5">
        <v>1000000</v>
      </c>
    </row>
    <row r="16" spans="2:18" ht="98" hidden="1" x14ac:dyDescent="0.35">
      <c r="B16" s="1" t="s">
        <v>18</v>
      </c>
      <c r="C16" s="1">
        <v>2022</v>
      </c>
      <c r="D16" s="1" t="s">
        <v>40</v>
      </c>
      <c r="E16" s="8">
        <f>VLOOKUP(DATABASE45[[#This Row],[BANK]],BFR[#All],2,FALSE)</f>
        <v>6.7500000000000004E-2</v>
      </c>
      <c r="G16" s="1" t="s">
        <v>47</v>
      </c>
      <c r="H16" s="1" t="s">
        <v>43</v>
      </c>
      <c r="I16" s="1" t="s">
        <v>61</v>
      </c>
      <c r="J16" s="1">
        <v>0.04</v>
      </c>
      <c r="K16" s="1" t="s">
        <v>62</v>
      </c>
      <c r="L16" s="10" t="s">
        <v>80</v>
      </c>
      <c r="M16" s="1" t="s">
        <v>76</v>
      </c>
      <c r="N16" s="2">
        <v>0.1</v>
      </c>
      <c r="P16" s="6">
        <v>44798</v>
      </c>
      <c r="Q16" s="5">
        <v>1000000</v>
      </c>
    </row>
    <row r="17" spans="2:17" ht="42" hidden="1" x14ac:dyDescent="0.35">
      <c r="B17" s="1" t="s">
        <v>18</v>
      </c>
      <c r="C17" s="1">
        <v>2022</v>
      </c>
      <c r="D17" s="1" t="s">
        <v>40</v>
      </c>
      <c r="E17" s="8">
        <f>VLOOKUP(DATABASE45[[#This Row],[BANK]],BFR[#All],2,FALSE)</f>
        <v>6.7500000000000004E-2</v>
      </c>
      <c r="G17" s="1" t="s">
        <v>41</v>
      </c>
      <c r="H17" s="1" t="s">
        <v>44</v>
      </c>
      <c r="I17" s="1" t="s">
        <v>63</v>
      </c>
      <c r="J17" s="1" t="s">
        <v>59</v>
      </c>
      <c r="K17" s="1" t="s">
        <v>62</v>
      </c>
      <c r="L17" s="10" t="s">
        <v>80</v>
      </c>
      <c r="M17" s="1" t="s">
        <v>76</v>
      </c>
      <c r="N17" s="2">
        <v>0.1</v>
      </c>
      <c r="P17" s="6">
        <v>44798</v>
      </c>
      <c r="Q17" s="5">
        <v>10000000</v>
      </c>
    </row>
    <row r="18" spans="2:17" ht="28" hidden="1" x14ac:dyDescent="0.35">
      <c r="B18" s="1" t="s">
        <v>18</v>
      </c>
      <c r="C18" s="1">
        <v>2022</v>
      </c>
      <c r="D18" s="1" t="s">
        <v>40</v>
      </c>
      <c r="E18" s="8">
        <f>VLOOKUP(DATABASE45[[#This Row],[BANK]],BFR[#All],2,FALSE)</f>
        <v>6.7500000000000004E-2</v>
      </c>
      <c r="G18" s="1" t="s">
        <v>16</v>
      </c>
      <c r="H18" s="1" t="s">
        <v>45</v>
      </c>
      <c r="I18" s="1" t="s">
        <v>64</v>
      </c>
      <c r="J18" s="1" t="s">
        <v>65</v>
      </c>
      <c r="K18" s="1" t="s">
        <v>66</v>
      </c>
      <c r="L18" s="10" t="s">
        <v>80</v>
      </c>
      <c r="M18" s="1" t="s">
        <v>76</v>
      </c>
      <c r="N18" s="2">
        <v>0.1</v>
      </c>
      <c r="P18" s="6">
        <v>44798</v>
      </c>
      <c r="Q18" s="5">
        <v>20000000</v>
      </c>
    </row>
    <row r="19" spans="2:17" ht="70" hidden="1" x14ac:dyDescent="0.35">
      <c r="B19" s="1" t="s">
        <v>19</v>
      </c>
      <c r="C19" s="1">
        <v>2022</v>
      </c>
      <c r="D19" s="1" t="s">
        <v>40</v>
      </c>
      <c r="E19" s="8">
        <f>VLOOKUP(DATABASE45[[#This Row],[BANK]],BFR[#All],2,FALSE)</f>
        <v>6.7500000000000004E-2</v>
      </c>
      <c r="G19" s="1" t="s">
        <v>46</v>
      </c>
      <c r="H19" s="1" t="s">
        <v>42</v>
      </c>
      <c r="I19" s="1" t="s">
        <v>58</v>
      </c>
      <c r="J19" s="1" t="s">
        <v>59</v>
      </c>
      <c r="K19" s="1" t="s">
        <v>60</v>
      </c>
      <c r="L19" s="10" t="s">
        <v>80</v>
      </c>
      <c r="M19" s="1" t="s">
        <v>76</v>
      </c>
      <c r="N19" s="2">
        <v>0.1</v>
      </c>
      <c r="P19" s="6">
        <v>44798</v>
      </c>
      <c r="Q19" s="5">
        <v>1000000</v>
      </c>
    </row>
    <row r="20" spans="2:17" ht="98" hidden="1" x14ac:dyDescent="0.35">
      <c r="B20" s="1" t="s">
        <v>19</v>
      </c>
      <c r="C20" s="1">
        <v>2022</v>
      </c>
      <c r="D20" s="1" t="s">
        <v>40</v>
      </c>
      <c r="E20" s="8">
        <f>VLOOKUP(DATABASE45[[#This Row],[BANK]],BFR[#All],2,FALSE)</f>
        <v>6.7500000000000004E-2</v>
      </c>
      <c r="G20" s="1" t="s">
        <v>47</v>
      </c>
      <c r="H20" s="1" t="s">
        <v>43</v>
      </c>
      <c r="I20" s="1" t="s">
        <v>61</v>
      </c>
      <c r="J20" s="1">
        <v>0.04</v>
      </c>
      <c r="K20" s="1" t="s">
        <v>62</v>
      </c>
      <c r="L20" s="10" t="s">
        <v>80</v>
      </c>
      <c r="M20" s="1" t="s">
        <v>76</v>
      </c>
      <c r="N20" s="2">
        <v>0.1</v>
      </c>
      <c r="P20" s="6">
        <v>44798</v>
      </c>
      <c r="Q20" s="5">
        <v>1000000</v>
      </c>
    </row>
    <row r="21" spans="2:17" ht="42" hidden="1" x14ac:dyDescent="0.35">
      <c r="B21" s="1" t="s">
        <v>19</v>
      </c>
      <c r="C21" s="1">
        <v>2022</v>
      </c>
      <c r="D21" s="1" t="s">
        <v>40</v>
      </c>
      <c r="E21" s="8">
        <f>VLOOKUP(DATABASE45[[#This Row],[BANK]],BFR[#All],2,FALSE)</f>
        <v>6.7500000000000004E-2</v>
      </c>
      <c r="G21" s="1" t="s">
        <v>41</v>
      </c>
      <c r="H21" s="1" t="s">
        <v>44</v>
      </c>
      <c r="I21" s="1" t="s">
        <v>63</v>
      </c>
      <c r="J21" s="1" t="s">
        <v>59</v>
      </c>
      <c r="K21" s="1" t="s">
        <v>62</v>
      </c>
      <c r="L21" s="10" t="s">
        <v>80</v>
      </c>
      <c r="M21" s="1" t="s">
        <v>76</v>
      </c>
      <c r="N21" s="2">
        <v>0.1</v>
      </c>
      <c r="P21" s="6">
        <v>44798</v>
      </c>
      <c r="Q21" s="5">
        <v>10000000</v>
      </c>
    </row>
    <row r="22" spans="2:17" ht="28" hidden="1" x14ac:dyDescent="0.35">
      <c r="B22" s="1" t="s">
        <v>19</v>
      </c>
      <c r="C22" s="1">
        <v>2022</v>
      </c>
      <c r="D22" s="1" t="s">
        <v>40</v>
      </c>
      <c r="E22" s="8">
        <f>VLOOKUP(DATABASE45[[#This Row],[BANK]],BFR[#All],2,FALSE)</f>
        <v>6.7500000000000004E-2</v>
      </c>
      <c r="G22" s="1" t="s">
        <v>16</v>
      </c>
      <c r="H22" s="1" t="s">
        <v>45</v>
      </c>
      <c r="I22" s="1" t="s">
        <v>64</v>
      </c>
      <c r="J22" s="1" t="s">
        <v>65</v>
      </c>
      <c r="K22" s="1" t="s">
        <v>66</v>
      </c>
      <c r="L22" s="10" t="s">
        <v>80</v>
      </c>
      <c r="M22" s="1" t="s">
        <v>76</v>
      </c>
      <c r="N22" s="2">
        <v>0.1</v>
      </c>
      <c r="P22" s="6">
        <v>44798</v>
      </c>
      <c r="Q22" s="5">
        <v>20000000</v>
      </c>
    </row>
    <row r="23" spans="2:17" ht="70" hidden="1" x14ac:dyDescent="0.35">
      <c r="B23" s="1" t="s">
        <v>28</v>
      </c>
      <c r="C23" s="1">
        <v>2022</v>
      </c>
      <c r="D23" s="1" t="s">
        <v>40</v>
      </c>
      <c r="E23" s="8">
        <f>VLOOKUP(DATABASE45[[#This Row],[BANK]],BFR[#All],2,FALSE)</f>
        <v>6.7500000000000004E-2</v>
      </c>
      <c r="G23" s="1" t="s">
        <v>46</v>
      </c>
      <c r="H23" s="1" t="s">
        <v>42</v>
      </c>
      <c r="I23" s="1" t="s">
        <v>58</v>
      </c>
      <c r="J23" s="1" t="s">
        <v>59</v>
      </c>
      <c r="K23" s="1" t="s">
        <v>60</v>
      </c>
      <c r="L23" s="10" t="s">
        <v>80</v>
      </c>
      <c r="M23" s="1" t="s">
        <v>76</v>
      </c>
      <c r="N23" s="2">
        <v>0.1</v>
      </c>
      <c r="P23" s="6">
        <v>44798</v>
      </c>
      <c r="Q23" s="5">
        <v>1000000</v>
      </c>
    </row>
    <row r="24" spans="2:17" ht="98" hidden="1" x14ac:dyDescent="0.35">
      <c r="B24" s="1" t="s">
        <v>28</v>
      </c>
      <c r="C24" s="1">
        <v>2022</v>
      </c>
      <c r="D24" s="1" t="s">
        <v>40</v>
      </c>
      <c r="E24" s="8">
        <f>VLOOKUP(DATABASE45[[#This Row],[BANK]],BFR[#All],2,FALSE)</f>
        <v>6.7500000000000004E-2</v>
      </c>
      <c r="G24" s="1" t="s">
        <v>47</v>
      </c>
      <c r="H24" s="1" t="s">
        <v>43</v>
      </c>
      <c r="I24" s="1" t="s">
        <v>61</v>
      </c>
      <c r="J24" s="1">
        <v>0.04</v>
      </c>
      <c r="K24" s="1" t="s">
        <v>62</v>
      </c>
      <c r="L24" s="10" t="s">
        <v>80</v>
      </c>
      <c r="M24" s="1" t="s">
        <v>76</v>
      </c>
      <c r="N24" s="2">
        <v>0.1</v>
      </c>
      <c r="P24" s="6">
        <v>44798</v>
      </c>
      <c r="Q24" s="5">
        <v>1000000</v>
      </c>
    </row>
    <row r="25" spans="2:17" ht="42" hidden="1" x14ac:dyDescent="0.35">
      <c r="B25" s="1" t="s">
        <v>28</v>
      </c>
      <c r="C25" s="1">
        <v>2022</v>
      </c>
      <c r="D25" s="1" t="s">
        <v>40</v>
      </c>
      <c r="E25" s="8">
        <f>VLOOKUP(DATABASE45[[#This Row],[BANK]],BFR[#All],2,FALSE)</f>
        <v>6.7500000000000004E-2</v>
      </c>
      <c r="G25" s="1" t="s">
        <v>41</v>
      </c>
      <c r="H25" s="1" t="s">
        <v>44</v>
      </c>
      <c r="I25" s="1" t="s">
        <v>63</v>
      </c>
      <c r="J25" s="1" t="s">
        <v>59</v>
      </c>
      <c r="K25" s="1" t="s">
        <v>62</v>
      </c>
      <c r="L25" s="10" t="s">
        <v>80</v>
      </c>
      <c r="M25" s="1" t="s">
        <v>76</v>
      </c>
      <c r="N25" s="2">
        <v>0.1</v>
      </c>
      <c r="P25" s="6">
        <v>44798</v>
      </c>
      <c r="Q25" s="5">
        <v>10000000</v>
      </c>
    </row>
    <row r="26" spans="2:17" ht="28" hidden="1" x14ac:dyDescent="0.35">
      <c r="B26" s="1" t="s">
        <v>28</v>
      </c>
      <c r="C26" s="1">
        <v>2022</v>
      </c>
      <c r="D26" s="1" t="s">
        <v>40</v>
      </c>
      <c r="E26" s="8">
        <f>VLOOKUP(DATABASE45[[#This Row],[BANK]],BFR[#All],2,FALSE)</f>
        <v>6.7500000000000004E-2</v>
      </c>
      <c r="G26" s="1" t="s">
        <v>16</v>
      </c>
      <c r="H26" s="1" t="s">
        <v>45</v>
      </c>
      <c r="I26" s="1" t="s">
        <v>64</v>
      </c>
      <c r="J26" s="1" t="s">
        <v>65</v>
      </c>
      <c r="K26" s="1" t="s">
        <v>66</v>
      </c>
      <c r="L26" s="10" t="s">
        <v>80</v>
      </c>
      <c r="M26" s="1" t="s">
        <v>76</v>
      </c>
      <c r="N26" s="2">
        <v>0.1</v>
      </c>
      <c r="P26" s="6">
        <v>44798</v>
      </c>
      <c r="Q26" s="5">
        <v>20000000</v>
      </c>
    </row>
    <row r="27" spans="2:17" ht="70" hidden="1" x14ac:dyDescent="0.35">
      <c r="B27" s="1" t="s">
        <v>27</v>
      </c>
      <c r="C27" s="1">
        <v>2022</v>
      </c>
      <c r="D27" s="1" t="s">
        <v>40</v>
      </c>
      <c r="E27" s="8">
        <f>VLOOKUP(DATABASE45[[#This Row],[BANK]],BFR[#All],2,FALSE)</f>
        <v>6.7500000000000004E-2</v>
      </c>
      <c r="G27" s="1" t="s">
        <v>46</v>
      </c>
      <c r="H27" s="1" t="s">
        <v>42</v>
      </c>
      <c r="I27" s="1" t="s">
        <v>58</v>
      </c>
      <c r="J27" s="1" t="s">
        <v>59</v>
      </c>
      <c r="K27" s="1" t="s">
        <v>60</v>
      </c>
      <c r="L27" s="10" t="s">
        <v>80</v>
      </c>
      <c r="M27" s="1" t="s">
        <v>76</v>
      </c>
      <c r="N27" s="2">
        <v>0.1</v>
      </c>
      <c r="P27" s="6">
        <v>44798</v>
      </c>
      <c r="Q27" s="5">
        <v>1000000</v>
      </c>
    </row>
    <row r="28" spans="2:17" ht="98" hidden="1" x14ac:dyDescent="0.35">
      <c r="B28" s="1" t="s">
        <v>27</v>
      </c>
      <c r="C28" s="1">
        <v>2022</v>
      </c>
      <c r="D28" s="1" t="s">
        <v>40</v>
      </c>
      <c r="E28" s="8">
        <f>VLOOKUP(DATABASE45[[#This Row],[BANK]],BFR[#All],2,FALSE)</f>
        <v>6.7500000000000004E-2</v>
      </c>
      <c r="G28" s="1" t="s">
        <v>47</v>
      </c>
      <c r="H28" s="1" t="s">
        <v>43</v>
      </c>
      <c r="I28" s="1" t="s">
        <v>61</v>
      </c>
      <c r="J28" s="1">
        <v>0.04</v>
      </c>
      <c r="K28" s="1" t="s">
        <v>62</v>
      </c>
      <c r="L28" s="10" t="s">
        <v>80</v>
      </c>
      <c r="M28" s="1" t="s">
        <v>76</v>
      </c>
      <c r="N28" s="2">
        <v>0.1</v>
      </c>
      <c r="P28" s="6">
        <v>44798</v>
      </c>
      <c r="Q28" s="5">
        <v>1000000</v>
      </c>
    </row>
    <row r="29" spans="2:17" ht="42" hidden="1" x14ac:dyDescent="0.35">
      <c r="B29" s="1" t="s">
        <v>27</v>
      </c>
      <c r="C29" s="1">
        <v>2022</v>
      </c>
      <c r="D29" s="1" t="s">
        <v>40</v>
      </c>
      <c r="E29" s="8">
        <f>VLOOKUP(DATABASE45[[#This Row],[BANK]],BFR[#All],2,FALSE)</f>
        <v>6.7500000000000004E-2</v>
      </c>
      <c r="G29" s="1" t="s">
        <v>41</v>
      </c>
      <c r="H29" s="1" t="s">
        <v>44</v>
      </c>
      <c r="I29" s="1" t="s">
        <v>63</v>
      </c>
      <c r="J29" s="1" t="s">
        <v>59</v>
      </c>
      <c r="K29" s="1" t="s">
        <v>62</v>
      </c>
      <c r="L29" s="10" t="s">
        <v>80</v>
      </c>
      <c r="M29" s="1" t="s">
        <v>76</v>
      </c>
      <c r="N29" s="2">
        <v>0.1</v>
      </c>
      <c r="P29" s="6">
        <v>44798</v>
      </c>
      <c r="Q29" s="5">
        <v>10000000</v>
      </c>
    </row>
    <row r="30" spans="2:17" ht="28" hidden="1" x14ac:dyDescent="0.35">
      <c r="B30" s="1" t="s">
        <v>27</v>
      </c>
      <c r="C30" s="1">
        <v>2022</v>
      </c>
      <c r="D30" s="1" t="s">
        <v>40</v>
      </c>
      <c r="E30" s="8">
        <f>VLOOKUP(DATABASE45[[#This Row],[BANK]],BFR[#All],2,FALSE)</f>
        <v>6.7500000000000004E-2</v>
      </c>
      <c r="G30" s="1" t="s">
        <v>16</v>
      </c>
      <c r="H30" s="1" t="s">
        <v>45</v>
      </c>
      <c r="I30" s="1" t="s">
        <v>64</v>
      </c>
      <c r="J30" s="1" t="s">
        <v>65</v>
      </c>
      <c r="K30" s="1" t="s">
        <v>66</v>
      </c>
      <c r="L30" s="10" t="s">
        <v>80</v>
      </c>
      <c r="M30" s="1" t="s">
        <v>76</v>
      </c>
      <c r="N30" s="2">
        <v>0.1</v>
      </c>
      <c r="P30" s="6">
        <v>44798</v>
      </c>
      <c r="Q30" s="5">
        <v>20000000</v>
      </c>
    </row>
    <row r="31" spans="2:17" ht="70" hidden="1" x14ac:dyDescent="0.35">
      <c r="B31" s="1" t="s">
        <v>51</v>
      </c>
      <c r="C31" s="1">
        <v>2022</v>
      </c>
      <c r="D31" s="1" t="s">
        <v>40</v>
      </c>
      <c r="E31" s="8">
        <f>VLOOKUP(DATABASE45[[#This Row],[BANK]],BFR[#All],2,FALSE)</f>
        <v>6.7500000000000004E-2</v>
      </c>
      <c r="G31" s="1" t="s">
        <v>46</v>
      </c>
      <c r="H31" s="1" t="s">
        <v>42</v>
      </c>
      <c r="I31" s="1" t="s">
        <v>58</v>
      </c>
      <c r="J31" s="1" t="s">
        <v>59</v>
      </c>
      <c r="K31" s="1" t="s">
        <v>60</v>
      </c>
      <c r="L31" s="10" t="s">
        <v>80</v>
      </c>
      <c r="M31" s="1" t="s">
        <v>76</v>
      </c>
      <c r="N31" s="2">
        <v>0.1</v>
      </c>
      <c r="P31" s="6">
        <v>44798</v>
      </c>
      <c r="Q31" s="5">
        <v>1000000</v>
      </c>
    </row>
    <row r="32" spans="2:17" ht="98" hidden="1" x14ac:dyDescent="0.35">
      <c r="B32" s="1" t="s">
        <v>51</v>
      </c>
      <c r="C32" s="1">
        <v>2022</v>
      </c>
      <c r="D32" s="1" t="s">
        <v>40</v>
      </c>
      <c r="E32" s="8">
        <f>VLOOKUP(DATABASE45[[#This Row],[BANK]],BFR[#All],2,FALSE)</f>
        <v>6.7500000000000004E-2</v>
      </c>
      <c r="G32" s="1" t="s">
        <v>47</v>
      </c>
      <c r="H32" s="1" t="s">
        <v>43</v>
      </c>
      <c r="I32" s="1" t="s">
        <v>61</v>
      </c>
      <c r="J32" s="1">
        <v>0.04</v>
      </c>
      <c r="K32" s="1" t="s">
        <v>62</v>
      </c>
      <c r="L32" s="10" t="s">
        <v>80</v>
      </c>
      <c r="M32" s="1" t="s">
        <v>76</v>
      </c>
      <c r="N32" s="2">
        <v>0.1</v>
      </c>
      <c r="P32" s="6">
        <v>44798</v>
      </c>
      <c r="Q32" s="5">
        <v>1000000</v>
      </c>
    </row>
    <row r="33" spans="2:18" ht="42" hidden="1" x14ac:dyDescent="0.35">
      <c r="B33" s="1" t="s">
        <v>51</v>
      </c>
      <c r="C33" s="1">
        <v>2022</v>
      </c>
      <c r="D33" s="1" t="s">
        <v>40</v>
      </c>
      <c r="E33" s="8">
        <f>VLOOKUP(DATABASE45[[#This Row],[BANK]],BFR[#All],2,FALSE)</f>
        <v>6.7500000000000004E-2</v>
      </c>
      <c r="G33" s="1" t="s">
        <v>41</v>
      </c>
      <c r="H33" s="1" t="s">
        <v>44</v>
      </c>
      <c r="I33" s="1" t="s">
        <v>63</v>
      </c>
      <c r="J33" s="1" t="s">
        <v>59</v>
      </c>
      <c r="K33" s="1" t="s">
        <v>62</v>
      </c>
      <c r="L33" s="10" t="s">
        <v>80</v>
      </c>
      <c r="M33" s="1" t="s">
        <v>76</v>
      </c>
      <c r="N33" s="2">
        <v>0.1</v>
      </c>
      <c r="P33" s="6">
        <v>44798</v>
      </c>
      <c r="Q33" s="5">
        <v>10000000</v>
      </c>
    </row>
    <row r="34" spans="2:18" ht="28" hidden="1" x14ac:dyDescent="0.35">
      <c r="B34" s="1" t="s">
        <v>51</v>
      </c>
      <c r="C34" s="1">
        <v>2022</v>
      </c>
      <c r="D34" s="1" t="s">
        <v>40</v>
      </c>
      <c r="E34" s="8">
        <f>VLOOKUP(DATABASE45[[#This Row],[BANK]],BFR[#All],2,FALSE)</f>
        <v>6.7500000000000004E-2</v>
      </c>
      <c r="G34" s="1" t="s">
        <v>16</v>
      </c>
      <c r="H34" s="1" t="s">
        <v>45</v>
      </c>
      <c r="I34" s="1" t="s">
        <v>64</v>
      </c>
      <c r="J34" s="1" t="s">
        <v>65</v>
      </c>
      <c r="K34" s="1" t="s">
        <v>66</v>
      </c>
      <c r="L34" s="10" t="s">
        <v>80</v>
      </c>
      <c r="M34" s="1" t="s">
        <v>76</v>
      </c>
      <c r="N34" s="2">
        <v>0.1</v>
      </c>
      <c r="P34" s="6">
        <v>44798</v>
      </c>
      <c r="Q34" s="5">
        <v>20000000</v>
      </c>
    </row>
    <row r="35" spans="2:18" ht="14.5" x14ac:dyDescent="0.35">
      <c r="B35" s="1" t="s">
        <v>97</v>
      </c>
      <c r="E35" s="1"/>
      <c r="F35" s="1"/>
      <c r="I35" s="23"/>
      <c r="J35" s="23"/>
      <c r="K35" s="23"/>
      <c r="L35" s="10"/>
      <c r="N35" s="1"/>
      <c r="O35" s="1"/>
      <c r="P35" s="1"/>
      <c r="Q35" s="24">
        <f>SUBTOTAL(109,DATABASE45[TOTAL REQUESTED (RM)])</f>
        <v>7000000</v>
      </c>
      <c r="R35" s="24">
        <f>SUBTOTAL(109,DATABASE45[TOTAL OFFERED (RM)])</f>
        <v>0</v>
      </c>
    </row>
    <row r="38" spans="2:18" x14ac:dyDescent="0.35">
      <c r="E38" s="36"/>
      <c r="F38" s="36"/>
      <c r="N38" s="37"/>
      <c r="O38" s="38"/>
      <c r="P38" s="38"/>
    </row>
    <row r="39" spans="2:18" x14ac:dyDescent="0.35">
      <c r="E39" s="36"/>
      <c r="F39" s="36"/>
      <c r="N39" s="37"/>
      <c r="O39" s="38"/>
      <c r="P39" s="39"/>
    </row>
    <row r="40" spans="2:18" x14ac:dyDescent="0.35">
      <c r="E40" s="36"/>
      <c r="F40" s="36"/>
      <c r="N40" s="37"/>
      <c r="O40" s="38"/>
      <c r="P40" s="38"/>
    </row>
    <row r="41" spans="2:18" x14ac:dyDescent="0.35">
      <c r="E41" s="36"/>
      <c r="F41" s="36"/>
      <c r="N41" s="37"/>
      <c r="O41" s="38"/>
      <c r="P41" s="38"/>
    </row>
    <row r="42" spans="2:18" x14ac:dyDescent="0.35">
      <c r="E42" s="36"/>
      <c r="F42" s="36"/>
      <c r="N42" s="37"/>
      <c r="O42" s="38"/>
      <c r="P42" s="38"/>
    </row>
  </sheetData>
  <conditionalFormatting sqref="L4:L34">
    <cfRule type="expression" dxfId="42" priority="6">
      <formula>$L4="IN PROGRESS"</formula>
    </cfRule>
    <cfRule type="expression" dxfId="41" priority="7">
      <formula>$L4="ON HOLD"</formula>
    </cfRule>
    <cfRule type="expression" dxfId="40" priority="8">
      <formula>$L4="DONE"</formula>
    </cfRule>
    <cfRule type="expression" dxfId="39" priority="9">
      <formula>OR($L4="DECLINED BY BANK",$L4="DECLINED BY COMPANY")</formula>
    </cfRule>
  </conditionalFormatting>
  <conditionalFormatting sqref="N6:N34">
    <cfRule type="dataBar" priority="47">
      <dataBar>
        <cfvo type="min"/>
        <cfvo type="max"/>
        <color theme="9" tint="0.39997558519241921"/>
      </dataBar>
      <extLst>
        <ext xmlns:x14="http://schemas.microsoft.com/office/spreadsheetml/2009/9/main" uri="{B025F937-C7B1-47D3-B67F-A62EFF666E3E}">
          <x14:id>{D838B817-FCD9-410F-AD3A-0E8B893E5AAB}</x14:id>
        </ext>
      </extLst>
    </cfRule>
  </conditionalFormatting>
  <conditionalFormatting sqref="N4">
    <cfRule type="dataBar" priority="1">
      <dataBar>
        <cfvo type="percent" val="0"/>
        <cfvo type="percent" val="100"/>
        <color rgb="FF638EC6"/>
      </dataBar>
      <extLst>
        <ext xmlns:x14="http://schemas.microsoft.com/office/spreadsheetml/2009/9/main" uri="{B025F937-C7B1-47D3-B67F-A62EFF666E3E}">
          <x14:id>{00C33772-D0FC-4225-938E-FCCA53EE2D36}</x14:id>
        </ext>
      </extLst>
    </cfRule>
    <cfRule type="dataBar" priority="4">
      <dataBar>
        <cfvo type="min"/>
        <cfvo type="max"/>
        <color theme="9" tint="0.39997558519241921"/>
      </dataBar>
      <extLst>
        <ext xmlns:x14="http://schemas.microsoft.com/office/spreadsheetml/2009/9/main" uri="{B025F937-C7B1-47D3-B67F-A62EFF666E3E}">
          <x14:id>{6FB0FA30-0361-4BC7-9BB5-F3C9BEDDA29F}</x14:id>
        </ext>
      </extLst>
    </cfRule>
  </conditionalFormatting>
  <conditionalFormatting sqref="N5">
    <cfRule type="dataBar" priority="2">
      <dataBar>
        <cfvo type="min"/>
        <cfvo type="max"/>
        <color theme="9" tint="0.39997558519241921"/>
      </dataBar>
      <extLst>
        <ext xmlns:x14="http://schemas.microsoft.com/office/spreadsheetml/2009/9/main" uri="{B025F937-C7B1-47D3-B67F-A62EFF666E3E}">
          <x14:id>{4D0BDE84-47B6-4366-BF68-0B8C03589CFE}</x14:id>
        </ext>
      </extLst>
    </cfRule>
  </conditionalFormatting>
  <pageMargins left="0.25" right="0.25" top="0.75" bottom="0.75" header="0.3" footer="0.3"/>
  <pageSetup paperSize="9" scale="39" fitToHeight="0" orientation="landscape"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D838B817-FCD9-410F-AD3A-0E8B893E5AAB}">
            <x14:dataBar minLength="0" maxLength="100" gradient="0" direction="leftToRight">
              <x14:cfvo type="autoMin"/>
              <x14:cfvo type="autoMax"/>
              <x14:negativeFillColor rgb="FFFF0000"/>
              <x14:axisColor rgb="FF000000"/>
            </x14:dataBar>
          </x14:cfRule>
          <xm:sqref>N6:N34</xm:sqref>
        </x14:conditionalFormatting>
        <x14:conditionalFormatting xmlns:xm="http://schemas.microsoft.com/office/excel/2006/main">
          <x14:cfRule type="dataBar" id="{00C33772-D0FC-4225-938E-FCCA53EE2D36}">
            <x14:dataBar minLength="0" maxLength="100" gradient="0">
              <x14:cfvo type="percent">
                <xm:f>0</xm:f>
              </x14:cfvo>
              <x14:cfvo type="percent">
                <xm:f>100</xm:f>
              </x14:cfvo>
              <x14:negativeFillColor rgb="FFFF0000"/>
              <x14:axisColor rgb="FF000000"/>
            </x14:dataBar>
          </x14:cfRule>
          <x14:cfRule type="dataBar" id="{6FB0FA30-0361-4BC7-9BB5-F3C9BEDDA29F}">
            <x14:dataBar minLength="0" maxLength="100" gradient="0" direction="leftToRight">
              <x14:cfvo type="autoMin"/>
              <x14:cfvo type="autoMax"/>
              <x14:negativeFillColor rgb="FFFF0000"/>
              <x14:axisColor rgb="FF000000"/>
            </x14:dataBar>
          </x14:cfRule>
          <xm:sqref>N4</xm:sqref>
        </x14:conditionalFormatting>
        <x14:conditionalFormatting xmlns:xm="http://schemas.microsoft.com/office/excel/2006/main">
          <x14:cfRule type="dataBar" id="{4D0BDE84-47B6-4366-BF68-0B8C03589CFE}">
            <x14:dataBar minLength="0" maxLength="100" gradient="0" direction="leftToRight">
              <x14:cfvo type="autoMin"/>
              <x14:cfvo type="autoMax"/>
              <x14:negativeFillColor rgb="FFFF0000"/>
              <x14:axisColor rgb="FF000000"/>
            </x14:dataBar>
          </x14:cfRule>
          <xm:sqref>N5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E79BF-6964-4F41-B6D6-ED325F7A573A}">
  <sheetPr codeName="Sheet4">
    <pageSetUpPr fitToPage="1"/>
  </sheetPr>
  <dimension ref="B1:S19"/>
  <sheetViews>
    <sheetView showGridLines="0" view="pageBreakPreview" zoomScale="50" zoomScaleNormal="70" zoomScaleSheetLayoutView="50" workbookViewId="0">
      <pane xSplit="6" ySplit="3" topLeftCell="I4" activePane="bottomRight" state="frozen"/>
      <selection pane="topRight" activeCell="F1" sqref="F1"/>
      <selection pane="bottomLeft" activeCell="A4" sqref="A4"/>
      <selection pane="bottomRight" activeCell="R4" sqref="R4"/>
    </sheetView>
  </sheetViews>
  <sheetFormatPr defaultColWidth="9.1796875" defaultRowHeight="17.5" x14ac:dyDescent="0.35"/>
  <cols>
    <col min="1" max="1" width="5.1796875" style="79" customWidth="1"/>
    <col min="2" max="2" width="24.81640625" style="79" customWidth="1"/>
    <col min="3" max="3" width="27.7265625" style="79" bestFit="1" customWidth="1"/>
    <col min="4" max="4" width="15.26953125" style="79" customWidth="1"/>
    <col min="5" max="5" width="13.36328125" style="83" customWidth="1"/>
    <col min="6" max="6" width="21.81640625" style="79" customWidth="1"/>
    <col min="7" max="7" width="32.453125" style="79" customWidth="1"/>
    <col min="8" max="8" width="30.453125" style="79" customWidth="1"/>
    <col min="9" max="9" width="25" style="79" customWidth="1"/>
    <col min="10" max="10" width="30.7265625" style="79" customWidth="1"/>
    <col min="11" max="11" width="16.81640625" style="79" customWidth="1"/>
    <col min="12" max="12" width="29.1796875" style="79" customWidth="1"/>
    <col min="13" max="13" width="13.453125" style="85" customWidth="1"/>
    <col min="14" max="14" width="16.453125" style="86" customWidth="1"/>
    <col min="15" max="15" width="16.453125" style="86" hidden="1" customWidth="1"/>
    <col min="16" max="16" width="16.453125" style="92" customWidth="1"/>
    <col min="17" max="17" width="22.54296875" style="92" customWidth="1"/>
    <col min="18" max="18" width="26.08984375" style="79" customWidth="1"/>
    <col min="19" max="16384" width="9.1796875" style="79"/>
  </cols>
  <sheetData>
    <row r="1" spans="2:19" x14ac:dyDescent="0.35">
      <c r="B1" s="94" t="s">
        <v>0</v>
      </c>
    </row>
    <row r="2" spans="2:19" x14ac:dyDescent="0.35">
      <c r="B2" s="95"/>
      <c r="R2" s="96" t="s">
        <v>229</v>
      </c>
    </row>
    <row r="3" spans="2:19" ht="52.5" x14ac:dyDescent="0.35">
      <c r="B3" s="79" t="s">
        <v>1</v>
      </c>
      <c r="C3" s="79" t="s">
        <v>81</v>
      </c>
      <c r="D3" s="79" t="s">
        <v>2</v>
      </c>
      <c r="E3" s="83" t="s">
        <v>10</v>
      </c>
      <c r="F3" s="79" t="s">
        <v>3</v>
      </c>
      <c r="G3" s="79" t="s">
        <v>4</v>
      </c>
      <c r="H3" s="79" t="s">
        <v>11</v>
      </c>
      <c r="I3" s="79" t="s">
        <v>12</v>
      </c>
      <c r="J3" s="79" t="s">
        <v>13</v>
      </c>
      <c r="K3" s="79" t="s">
        <v>5</v>
      </c>
      <c r="L3" s="79" t="s">
        <v>9</v>
      </c>
      <c r="M3" s="85" t="s">
        <v>6</v>
      </c>
      <c r="N3" s="86" t="s">
        <v>82</v>
      </c>
      <c r="O3" s="86" t="s">
        <v>116</v>
      </c>
      <c r="P3" s="86" t="s">
        <v>29</v>
      </c>
      <c r="Q3" s="92" t="s">
        <v>7</v>
      </c>
      <c r="R3" s="92" t="s">
        <v>226</v>
      </c>
      <c r="S3" s="79" t="s">
        <v>123</v>
      </c>
    </row>
    <row r="4" spans="2:19" ht="115" customHeight="1" x14ac:dyDescent="0.35">
      <c r="B4" s="79" t="s">
        <v>27</v>
      </c>
      <c r="C4" s="79">
        <v>2022</v>
      </c>
      <c r="D4" s="79" t="s">
        <v>49</v>
      </c>
      <c r="E4" s="83">
        <f>VLOOKUP(DATABASE42[[#This Row],[BANK]],BFR[#All],2,FALSE)</f>
        <v>6.5600000000000006E-2</v>
      </c>
      <c r="F4" s="79" t="s">
        <v>41</v>
      </c>
      <c r="G4" s="79" t="s">
        <v>45</v>
      </c>
      <c r="H4" s="79" t="s">
        <v>72</v>
      </c>
      <c r="I4" s="79">
        <v>4.1599999999999998E-2</v>
      </c>
      <c r="J4" s="79" t="s">
        <v>35</v>
      </c>
      <c r="K4" s="84" t="s">
        <v>73</v>
      </c>
      <c r="L4" s="79" t="s">
        <v>74</v>
      </c>
      <c r="M4" s="85">
        <v>1</v>
      </c>
      <c r="P4" s="86">
        <v>44871</v>
      </c>
      <c r="Q4" s="92">
        <v>2000000</v>
      </c>
      <c r="R4" s="92">
        <v>2000000</v>
      </c>
    </row>
    <row r="5" spans="2:19" ht="115" customHeight="1" x14ac:dyDescent="0.35">
      <c r="B5" s="79" t="s">
        <v>14</v>
      </c>
      <c r="C5" s="79">
        <v>2022</v>
      </c>
      <c r="D5" s="79" t="s">
        <v>20</v>
      </c>
      <c r="E5" s="83">
        <f>VLOOKUP(DATABASE42[[#This Row],[BANK]],BFR[#All],2,FALSE)</f>
        <v>6.4500000000000002E-2</v>
      </c>
      <c r="F5" s="79" t="s">
        <v>16</v>
      </c>
      <c r="G5" s="79" t="s">
        <v>21</v>
      </c>
      <c r="H5" s="79" t="s">
        <v>57</v>
      </c>
      <c r="I5" s="79" t="s">
        <v>22</v>
      </c>
      <c r="J5" s="79" t="s">
        <v>23</v>
      </c>
      <c r="K5" s="87" t="s">
        <v>73</v>
      </c>
      <c r="L5" s="79" t="s">
        <v>74</v>
      </c>
      <c r="M5" s="85">
        <v>1</v>
      </c>
      <c r="P5" s="86">
        <v>44095</v>
      </c>
      <c r="Q5" s="92">
        <v>800000</v>
      </c>
      <c r="R5" s="92">
        <v>800000</v>
      </c>
    </row>
    <row r="6" spans="2:19" ht="115" customHeight="1" x14ac:dyDescent="0.35">
      <c r="B6" s="79" t="s">
        <v>17</v>
      </c>
      <c r="C6" s="79">
        <v>2022</v>
      </c>
      <c r="D6" s="79" t="s">
        <v>20</v>
      </c>
      <c r="E6" s="83">
        <f>VLOOKUP(DATABASE42[[#This Row],[BANK]],BFR[#All],2,FALSE)</f>
        <v>6.4000000000000001E-2</v>
      </c>
      <c r="F6" s="79" t="s">
        <v>16</v>
      </c>
      <c r="G6" s="79" t="s">
        <v>21</v>
      </c>
      <c r="H6" s="79" t="s">
        <v>34</v>
      </c>
      <c r="I6" s="79" t="s">
        <v>22</v>
      </c>
      <c r="J6" s="79" t="s">
        <v>23</v>
      </c>
      <c r="K6" s="87" t="s">
        <v>73</v>
      </c>
      <c r="L6" s="79" t="s">
        <v>74</v>
      </c>
      <c r="M6" s="85">
        <v>1</v>
      </c>
      <c r="P6" s="86">
        <v>44095</v>
      </c>
      <c r="Q6" s="92">
        <v>500000</v>
      </c>
      <c r="R6" s="92">
        <v>500000</v>
      </c>
    </row>
    <row r="7" spans="2:19" ht="115" customHeight="1" x14ac:dyDescent="0.35">
      <c r="B7" s="79" t="s">
        <v>17</v>
      </c>
      <c r="C7" s="79">
        <v>2022</v>
      </c>
      <c r="D7" s="79" t="s">
        <v>48</v>
      </c>
      <c r="E7" s="83">
        <v>6.4000000000000001E-2</v>
      </c>
      <c r="F7" s="79" t="s">
        <v>16</v>
      </c>
      <c r="G7" s="79" t="s">
        <v>50</v>
      </c>
      <c r="H7" s="88"/>
      <c r="I7" s="89" t="s">
        <v>22</v>
      </c>
      <c r="J7" s="79" t="s">
        <v>62</v>
      </c>
      <c r="K7" s="82" t="s">
        <v>73</v>
      </c>
      <c r="L7" s="79" t="s">
        <v>74</v>
      </c>
      <c r="M7" s="85">
        <v>1</v>
      </c>
      <c r="N7" s="86">
        <v>44808</v>
      </c>
      <c r="P7" s="86">
        <v>45092</v>
      </c>
      <c r="Q7" s="92">
        <v>1000000</v>
      </c>
      <c r="R7" s="92">
        <v>500000</v>
      </c>
    </row>
    <row r="8" spans="2:19" ht="115" customHeight="1" x14ac:dyDescent="0.35">
      <c r="B8" s="79" t="s">
        <v>27</v>
      </c>
      <c r="C8" s="79">
        <v>2022</v>
      </c>
      <c r="D8" s="79" t="s">
        <v>20</v>
      </c>
      <c r="E8" s="83">
        <v>6.5799999999999997E-2</v>
      </c>
      <c r="F8" s="79" t="s">
        <v>16</v>
      </c>
      <c r="G8" s="79" t="s">
        <v>25</v>
      </c>
      <c r="H8" s="79" t="s">
        <v>69</v>
      </c>
      <c r="I8" s="79" t="s">
        <v>70</v>
      </c>
      <c r="J8" s="79" t="s">
        <v>71</v>
      </c>
      <c r="K8" s="82" t="s">
        <v>73</v>
      </c>
      <c r="L8" s="79" t="s">
        <v>74</v>
      </c>
      <c r="M8" s="85">
        <v>1</v>
      </c>
      <c r="P8" s="86">
        <v>44871</v>
      </c>
      <c r="Q8" s="92">
        <v>3000000</v>
      </c>
      <c r="R8" s="92">
        <v>2000000</v>
      </c>
    </row>
    <row r="9" spans="2:19" ht="115" customHeight="1" x14ac:dyDescent="0.35">
      <c r="B9" s="79" t="s">
        <v>18</v>
      </c>
      <c r="C9" s="79">
        <v>2023</v>
      </c>
      <c r="D9" s="79" t="s">
        <v>93</v>
      </c>
      <c r="E9" s="83">
        <v>6.5000000000000002E-2</v>
      </c>
      <c r="F9" s="79" t="s">
        <v>41</v>
      </c>
      <c r="G9" s="79" t="s">
        <v>99</v>
      </c>
      <c r="H9" s="88"/>
      <c r="I9" s="81" t="s">
        <v>101</v>
      </c>
      <c r="J9" s="79" t="s">
        <v>35</v>
      </c>
      <c r="K9" s="82" t="s">
        <v>73</v>
      </c>
      <c r="L9" s="79" t="s">
        <v>74</v>
      </c>
      <c r="M9" s="85">
        <v>1</v>
      </c>
      <c r="N9" s="90" t="s">
        <v>100</v>
      </c>
      <c r="O9" s="90"/>
      <c r="P9" s="91">
        <v>45326</v>
      </c>
      <c r="Q9" s="92">
        <v>800000</v>
      </c>
      <c r="R9" s="92">
        <v>500000</v>
      </c>
    </row>
    <row r="10" spans="2:19" ht="115" customHeight="1" x14ac:dyDescent="0.35">
      <c r="B10" s="79" t="s">
        <v>119</v>
      </c>
      <c r="C10" s="79">
        <v>2024</v>
      </c>
      <c r="D10" s="79" t="s">
        <v>40</v>
      </c>
      <c r="E10" s="83">
        <v>6.7500000000000004E-2</v>
      </c>
      <c r="F10" s="79" t="s">
        <v>41</v>
      </c>
      <c r="G10" s="82" t="s">
        <v>124</v>
      </c>
      <c r="H10" s="81" t="s">
        <v>125</v>
      </c>
      <c r="I10" s="81" t="s">
        <v>121</v>
      </c>
      <c r="J10" s="79" t="s">
        <v>62</v>
      </c>
      <c r="K10" s="82" t="s">
        <v>73</v>
      </c>
      <c r="L10" s="79" t="s">
        <v>74</v>
      </c>
      <c r="M10" s="85">
        <v>1</v>
      </c>
      <c r="N10" s="91" t="s">
        <v>130</v>
      </c>
      <c r="O10" s="90"/>
      <c r="P10" s="91" t="s">
        <v>130</v>
      </c>
      <c r="Q10" s="92">
        <v>1000000</v>
      </c>
      <c r="R10" s="92">
        <v>200000</v>
      </c>
    </row>
    <row r="11" spans="2:19" ht="115" customHeight="1" x14ac:dyDescent="0.35">
      <c r="B11" s="79" t="s">
        <v>52</v>
      </c>
      <c r="C11" s="79">
        <v>2024</v>
      </c>
      <c r="D11" s="79" t="s">
        <v>83</v>
      </c>
      <c r="E11" s="83">
        <v>6.5600000000000006E-2</v>
      </c>
      <c r="F11" s="79" t="s">
        <v>16</v>
      </c>
      <c r="G11" s="79" t="s">
        <v>118</v>
      </c>
      <c r="H11" s="79" t="s">
        <v>171</v>
      </c>
      <c r="I11" s="81" t="s">
        <v>170</v>
      </c>
      <c r="J11" s="79" t="s">
        <v>115</v>
      </c>
      <c r="K11" s="82" t="s">
        <v>73</v>
      </c>
      <c r="L11" s="79" t="s">
        <v>74</v>
      </c>
      <c r="M11" s="85">
        <v>1</v>
      </c>
      <c r="O11" s="91"/>
      <c r="P11" s="93"/>
      <c r="Q11" s="92">
        <v>5000000</v>
      </c>
      <c r="R11" s="92">
        <v>2500000</v>
      </c>
      <c r="S11" s="79" t="s">
        <v>220</v>
      </c>
    </row>
    <row r="12" spans="2:19" ht="115.5" customHeight="1" x14ac:dyDescent="0.35">
      <c r="B12" s="79" t="s">
        <v>19</v>
      </c>
      <c r="C12" s="79">
        <v>2025</v>
      </c>
      <c r="D12" s="79" t="s">
        <v>93</v>
      </c>
      <c r="E12" s="83">
        <v>6.5000000000000002E-2</v>
      </c>
      <c r="F12" s="79" t="s">
        <v>41</v>
      </c>
      <c r="G12" s="82" t="s">
        <v>131</v>
      </c>
      <c r="H12" s="81" t="s">
        <v>132</v>
      </c>
      <c r="I12" s="81">
        <v>0.05</v>
      </c>
      <c r="J12" s="79" t="s">
        <v>62</v>
      </c>
      <c r="K12" s="82" t="s">
        <v>73</v>
      </c>
      <c r="L12" s="79" t="s">
        <v>74</v>
      </c>
      <c r="M12" s="85">
        <v>1</v>
      </c>
      <c r="N12" s="91"/>
      <c r="O12" s="90"/>
      <c r="P12" s="91">
        <v>45978</v>
      </c>
      <c r="R12" s="92">
        <v>550000</v>
      </c>
    </row>
    <row r="13" spans="2:19" ht="115.5" customHeight="1" x14ac:dyDescent="0.35">
      <c r="B13" s="79" t="s">
        <v>17</v>
      </c>
      <c r="C13" s="79">
        <v>2022</v>
      </c>
      <c r="D13" s="79" t="s">
        <v>20</v>
      </c>
      <c r="E13" s="83">
        <v>6.5000000000000002E-2</v>
      </c>
      <c r="F13" s="79" t="s">
        <v>24</v>
      </c>
      <c r="G13" s="79" t="s">
        <v>25</v>
      </c>
      <c r="H13" s="79" t="s">
        <v>26</v>
      </c>
      <c r="I13" s="79" t="s">
        <v>22</v>
      </c>
      <c r="J13" s="79" t="s">
        <v>23</v>
      </c>
      <c r="K13" s="103" t="s">
        <v>227</v>
      </c>
      <c r="L13" s="79" t="s">
        <v>228</v>
      </c>
      <c r="M13" s="85">
        <v>1</v>
      </c>
      <c r="O13" s="86">
        <v>44095</v>
      </c>
      <c r="P13" s="86">
        <v>46203</v>
      </c>
      <c r="Q13" s="92">
        <v>500000</v>
      </c>
      <c r="R13" s="92">
        <v>0</v>
      </c>
    </row>
    <row r="14" spans="2:19" ht="28.5" customHeight="1" x14ac:dyDescent="0.35">
      <c r="B14" s="79" t="s">
        <v>97</v>
      </c>
      <c r="E14" s="79"/>
      <c r="H14" s="97"/>
      <c r="I14" s="97"/>
      <c r="J14" s="97"/>
      <c r="K14" s="82"/>
      <c r="M14" s="79"/>
      <c r="N14" s="79"/>
      <c r="O14" s="79"/>
      <c r="P14" s="79"/>
      <c r="Q14" s="98">
        <f>SUBTOTAL(109,DATABASE4[TOTAL REQUESTED (RM)])</f>
        <v>14600000</v>
      </c>
      <c r="R14" s="98">
        <f>SUBTOTAL(109,DATABASE4[TOTAL APPROVED (RM)])</f>
        <v>9550000</v>
      </c>
    </row>
    <row r="16" spans="2:19" ht="20" x14ac:dyDescent="0.35">
      <c r="B16" s="100" t="s">
        <v>41</v>
      </c>
      <c r="C16" s="101">
        <f>R4+R9+R10+R12</f>
        <v>3250000</v>
      </c>
      <c r="O16" s="99"/>
    </row>
    <row r="17" spans="2:3" ht="20" x14ac:dyDescent="0.35">
      <c r="B17" s="100" t="s">
        <v>16</v>
      </c>
      <c r="C17" s="101" t="e">
        <f>R5+R6+#REF!+R7+R8+R11</f>
        <v>#REF!</v>
      </c>
    </row>
    <row r="18" spans="2:3" ht="20.5" thickBot="1" x14ac:dyDescent="0.4">
      <c r="B18" s="100" t="s">
        <v>221</v>
      </c>
      <c r="C18" s="102" t="e">
        <f>SUM(C16:C17)</f>
        <v>#REF!</v>
      </c>
    </row>
    <row r="19" spans="2:3" ht="18" thickTop="1" x14ac:dyDescent="0.35"/>
  </sheetData>
  <conditionalFormatting sqref="K4:K11">
    <cfRule type="expression" dxfId="38" priority="11">
      <formula>$K4="IN PROGRESS"</formula>
    </cfRule>
    <cfRule type="expression" dxfId="37" priority="12">
      <formula>$K4="ON HOLD"</formula>
    </cfRule>
    <cfRule type="expression" dxfId="36" priority="13">
      <formula>$K4="DONE"</formula>
    </cfRule>
    <cfRule type="expression" dxfId="35" priority="14">
      <formula>OR($K4="DECLINED BY BANK",$K4="DECLINED BY COMPANY")</formula>
    </cfRule>
  </conditionalFormatting>
  <conditionalFormatting sqref="K12">
    <cfRule type="expression" dxfId="34" priority="2">
      <formula>$K12="IN PROGRESS"</formula>
    </cfRule>
    <cfRule type="expression" dxfId="33" priority="3">
      <formula>$K12="ON HOLD"</formula>
    </cfRule>
    <cfRule type="expression" dxfId="32" priority="4">
      <formula>$K12="DONE"</formula>
    </cfRule>
    <cfRule type="expression" dxfId="31" priority="5">
      <formula>OR($K12="DECLINED BY BANK",$K12="DECLINED BY COMPANY")</formula>
    </cfRule>
  </conditionalFormatting>
  <conditionalFormatting sqref="M12">
    <cfRule type="dataBar" priority="6">
      <dataBar>
        <cfvo type="min"/>
        <cfvo type="max"/>
        <color theme="9" tint="0.39997558519241921"/>
      </dataBar>
      <extLst>
        <ext xmlns:x14="http://schemas.microsoft.com/office/spreadsheetml/2009/9/main" uri="{B025F937-C7B1-47D3-B67F-A62EFF666E3E}">
          <x14:id>{2D41E885-647B-4F2B-B684-C3E99D7644AD}</x14:id>
        </ext>
      </extLst>
    </cfRule>
  </conditionalFormatting>
  <conditionalFormatting sqref="M13">
    <cfRule type="dataBar" priority="1">
      <dataBar>
        <cfvo type="min"/>
        <cfvo type="max"/>
        <color theme="9" tint="0.39997558519241921"/>
      </dataBar>
      <extLst>
        <ext xmlns:x14="http://schemas.microsoft.com/office/spreadsheetml/2009/9/main" uri="{B025F937-C7B1-47D3-B67F-A62EFF666E3E}">
          <x14:id>{06B1AA22-1CB6-4FC8-87A4-485AE49EB5BA}</x14:id>
        </ext>
      </extLst>
    </cfRule>
  </conditionalFormatting>
  <conditionalFormatting sqref="M4:M11">
    <cfRule type="dataBar" priority="405">
      <dataBar>
        <cfvo type="min"/>
        <cfvo type="max"/>
        <color theme="9" tint="0.39997558519241921"/>
      </dataBar>
      <extLst>
        <ext xmlns:x14="http://schemas.microsoft.com/office/spreadsheetml/2009/9/main" uri="{B025F937-C7B1-47D3-B67F-A62EFF666E3E}">
          <x14:id>{4C3EE2C1-AF5C-4E5D-A274-262EAA223192}</x14:id>
        </ext>
      </extLst>
    </cfRule>
  </conditionalFormatting>
  <pageMargins left="0.25" right="0.25" top="0.75" bottom="0.75" header="0.3" footer="0.3"/>
  <pageSetup paperSize="8" scale="55" fitToHeight="0" orientation="landscape" r:id="rId1"/>
  <rowBreaks count="1" manualBreakCount="1">
    <brk id="18" max="17" man="1"/>
  </rowBreak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2D41E885-647B-4F2B-B684-C3E99D7644AD}">
            <x14:dataBar minLength="0" maxLength="100" gradient="0" direction="leftToRight">
              <x14:cfvo type="autoMin"/>
              <x14:cfvo type="autoMax"/>
              <x14:negativeFillColor rgb="FFFF0000"/>
              <x14:axisColor rgb="FF000000"/>
            </x14:dataBar>
          </x14:cfRule>
          <xm:sqref>M12</xm:sqref>
        </x14:conditionalFormatting>
        <x14:conditionalFormatting xmlns:xm="http://schemas.microsoft.com/office/excel/2006/main">
          <x14:cfRule type="dataBar" id="{06B1AA22-1CB6-4FC8-87A4-485AE49EB5BA}">
            <x14:dataBar minLength="0" maxLength="100" gradient="0" direction="leftToRight">
              <x14:cfvo type="autoMin"/>
              <x14:cfvo type="autoMax"/>
              <x14:negativeFillColor rgb="FFFF0000"/>
              <x14:axisColor rgb="FF000000"/>
            </x14:dataBar>
          </x14:cfRule>
          <xm:sqref>M13</xm:sqref>
        </x14:conditionalFormatting>
        <x14:conditionalFormatting xmlns:xm="http://schemas.microsoft.com/office/excel/2006/main">
          <x14:cfRule type="dataBar" id="{4C3EE2C1-AF5C-4E5D-A274-262EAA223192}">
            <x14:dataBar minLength="0" maxLength="100" gradient="0" direction="leftToRight">
              <x14:cfvo type="autoMin"/>
              <x14:cfvo type="autoMax"/>
              <x14:negativeFillColor rgb="FFFF0000"/>
              <x14:axisColor rgb="FF000000"/>
            </x14:dataBar>
          </x14:cfRule>
          <xm:sqref>M4:M11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7DCD-4995-42C4-AB96-4FEFA25EEA1F}">
  <sheetPr codeName="Sheet6">
    <pageSetUpPr fitToPage="1"/>
  </sheetPr>
  <dimension ref="B1:Z21"/>
  <sheetViews>
    <sheetView showGridLines="0" tabSelected="1" view="pageBreakPreview" zoomScale="70" zoomScaleNormal="70" zoomScaleSheetLayoutView="70" workbookViewId="0">
      <pane xSplit="6" ySplit="3" topLeftCell="G7" activePane="bottomRight" state="frozen"/>
      <selection pane="topRight" activeCell="F1" sqref="F1"/>
      <selection pane="bottomLeft" activeCell="A4" sqref="A4"/>
      <selection pane="bottomRight" activeCell="K4" sqref="K4"/>
    </sheetView>
  </sheetViews>
  <sheetFormatPr defaultColWidth="9.1796875" defaultRowHeight="14.5" x14ac:dyDescent="0.35"/>
  <cols>
    <col min="1" max="1" width="5.1796875" style="1" customWidth="1"/>
    <col min="2" max="2" width="30.26953125" style="1" customWidth="1"/>
    <col min="3" max="3" width="21.54296875" style="1" customWidth="1"/>
    <col min="4" max="4" width="15.26953125" style="1" customWidth="1"/>
    <col min="5" max="5" width="10.1796875" style="8" customWidth="1"/>
    <col min="6" max="6" width="21.81640625" style="1" customWidth="1"/>
    <col min="7" max="7" width="24.453125" style="1" bestFit="1" customWidth="1"/>
    <col min="8" max="8" width="28.26953125" style="1" customWidth="1"/>
    <col min="9" max="9" width="20.26953125" style="1" customWidth="1"/>
    <col min="10" max="10" width="30.7265625" style="1" customWidth="1"/>
    <col min="11" max="11" width="25.7265625" style="1" customWidth="1"/>
    <col min="12" max="12" width="29.1796875" style="1" customWidth="1"/>
    <col min="13" max="13" width="17.7265625" style="2" customWidth="1"/>
    <col min="14" max="14" width="15.26953125" style="6" customWidth="1"/>
    <col min="15" max="15" width="13.7265625" style="6" hidden="1" customWidth="1"/>
    <col min="16" max="16" width="26.26953125" style="5" customWidth="1"/>
    <col min="17" max="17" width="24.81640625" style="5" bestFit="1" customWidth="1"/>
    <col min="18" max="18" width="25.81640625" style="1" customWidth="1"/>
    <col min="19" max="25" width="9.1796875" style="1"/>
    <col min="27" max="16384" width="9.1796875" style="1"/>
  </cols>
  <sheetData>
    <row r="1" spans="2:20" ht="24.5" x14ac:dyDescent="0.35">
      <c r="B1" s="11" t="s">
        <v>0</v>
      </c>
    </row>
    <row r="2" spans="2:20" x14ac:dyDescent="0.35">
      <c r="B2" s="3"/>
      <c r="R2" s="45" t="s">
        <v>173</v>
      </c>
    </row>
    <row r="3" spans="2:20" ht="42" x14ac:dyDescent="0.35">
      <c r="B3" s="1" t="s">
        <v>1</v>
      </c>
      <c r="C3" s="1" t="s">
        <v>81</v>
      </c>
      <c r="D3" s="1" t="s">
        <v>2</v>
      </c>
      <c r="E3" s="8" t="s">
        <v>10</v>
      </c>
      <c r="F3" s="1" t="s">
        <v>3</v>
      </c>
      <c r="G3" s="1" t="s">
        <v>4</v>
      </c>
      <c r="H3" s="1" t="s">
        <v>11</v>
      </c>
      <c r="I3" s="1" t="s">
        <v>12</v>
      </c>
      <c r="J3" s="1" t="s">
        <v>13</v>
      </c>
      <c r="K3" s="1" t="s">
        <v>5</v>
      </c>
      <c r="L3" s="1" t="s">
        <v>9</v>
      </c>
      <c r="M3" s="2" t="s">
        <v>6</v>
      </c>
      <c r="N3" s="6" t="s">
        <v>82</v>
      </c>
      <c r="O3" s="6" t="s">
        <v>116</v>
      </c>
      <c r="P3" s="6" t="s">
        <v>29</v>
      </c>
      <c r="Q3" s="5" t="s">
        <v>7</v>
      </c>
      <c r="R3" s="5" t="s">
        <v>8</v>
      </c>
      <c r="S3" s="1" t="s">
        <v>123</v>
      </c>
      <c r="T3" s="1" t="s">
        <v>190</v>
      </c>
    </row>
    <row r="4" spans="2:20" ht="90" customHeight="1" x14ac:dyDescent="0.35">
      <c r="B4" s="1" t="s">
        <v>102</v>
      </c>
      <c r="C4" s="1">
        <v>2024</v>
      </c>
      <c r="D4" s="1" t="s">
        <v>83</v>
      </c>
      <c r="E4" s="8">
        <f>VLOOKUP(DATABASE42[[#This Row],[BANK]],BFR[#All],2,FALSE)</f>
        <v>6.5600000000000006E-2</v>
      </c>
      <c r="F4" s="1" t="s">
        <v>117</v>
      </c>
      <c r="H4" s="35"/>
      <c r="I4" s="34" t="s">
        <v>114</v>
      </c>
      <c r="K4" s="10" t="s">
        <v>75</v>
      </c>
      <c r="L4" s="1" t="s">
        <v>175</v>
      </c>
      <c r="M4" s="2">
        <v>0.7</v>
      </c>
      <c r="N4" s="6">
        <v>45985</v>
      </c>
      <c r="O4" s="6">
        <v>45985</v>
      </c>
      <c r="P4" s="6">
        <v>45985</v>
      </c>
      <c r="Q4" s="5">
        <v>5000000</v>
      </c>
      <c r="R4" s="5"/>
      <c r="T4" s="71"/>
    </row>
    <row r="5" spans="2:20" ht="90" customHeight="1" x14ac:dyDescent="0.35">
      <c r="B5" s="1" t="s">
        <v>102</v>
      </c>
      <c r="C5" s="1">
        <v>2025</v>
      </c>
      <c r="D5" s="1" t="s">
        <v>31</v>
      </c>
      <c r="E5" s="8">
        <f>VLOOKUP(DATABASE42[[#This Row],[BANK]],BFR[#All],2,FALSE)</f>
        <v>6.4500000000000002E-2</v>
      </c>
      <c r="F5" s="1" t="s">
        <v>117</v>
      </c>
      <c r="G5" s="1" t="s">
        <v>126</v>
      </c>
      <c r="H5" s="1" t="s">
        <v>129</v>
      </c>
      <c r="I5" s="34" t="s">
        <v>127</v>
      </c>
      <c r="J5" s="1" t="s">
        <v>128</v>
      </c>
      <c r="K5" s="10" t="s">
        <v>75</v>
      </c>
      <c r="L5" s="1" t="s">
        <v>174</v>
      </c>
      <c r="M5" s="2">
        <v>0.6</v>
      </c>
      <c r="N5" s="6">
        <v>45825</v>
      </c>
      <c r="P5" s="6">
        <v>45825</v>
      </c>
      <c r="Q5" s="5">
        <v>1000000</v>
      </c>
      <c r="R5" s="5">
        <v>300000</v>
      </c>
      <c r="T5" s="71"/>
    </row>
    <row r="6" spans="2:20" ht="99" customHeight="1" x14ac:dyDescent="0.35">
      <c r="B6" s="1" t="s">
        <v>14</v>
      </c>
      <c r="C6" s="1">
        <v>2025</v>
      </c>
      <c r="D6" s="1" t="s">
        <v>48</v>
      </c>
      <c r="E6" s="8">
        <f>VLOOKUP(DATABASE42[[#This Row],[BANK]],BFR[#All],2,FALSE)</f>
        <v>6.4000000000000001E-2</v>
      </c>
      <c r="F6" s="1" t="s">
        <v>16</v>
      </c>
      <c r="I6" s="34"/>
      <c r="K6" s="10" t="s">
        <v>75</v>
      </c>
      <c r="L6" s="1" t="s">
        <v>172</v>
      </c>
      <c r="M6" s="2">
        <v>0.4</v>
      </c>
      <c r="N6" s="6">
        <v>45866</v>
      </c>
      <c r="P6" s="6">
        <v>45872</v>
      </c>
      <c r="R6" s="5"/>
      <c r="T6" s="71"/>
    </row>
    <row r="7" spans="2:20" ht="99" customHeight="1" x14ac:dyDescent="0.35">
      <c r="B7" s="1" t="s">
        <v>102</v>
      </c>
      <c r="C7" s="1">
        <v>2025</v>
      </c>
      <c r="D7" s="1" t="s">
        <v>93</v>
      </c>
      <c r="E7" s="8">
        <f>VLOOKUP(DATABASE42[[#This Row],[BANK]],BFR[#All],2,FALSE)</f>
        <v>6.5000000000000002E-2</v>
      </c>
      <c r="I7" s="34"/>
      <c r="K7" s="10" t="s">
        <v>75</v>
      </c>
      <c r="L7" s="1" t="s">
        <v>174</v>
      </c>
      <c r="M7" s="2">
        <v>0.6</v>
      </c>
      <c r="N7" s="6">
        <v>45980</v>
      </c>
      <c r="P7" s="6">
        <v>45985</v>
      </c>
      <c r="R7" s="5"/>
      <c r="T7" s="71"/>
    </row>
    <row r="8" spans="2:20" ht="99" customHeight="1" x14ac:dyDescent="0.35">
      <c r="B8" s="1" t="s">
        <v>102</v>
      </c>
      <c r="C8" s="1">
        <v>2026</v>
      </c>
      <c r="D8" s="1" t="s">
        <v>83</v>
      </c>
      <c r="E8" s="8">
        <v>6.5600000000000006E-2</v>
      </c>
      <c r="F8" s="1" t="s">
        <v>117</v>
      </c>
      <c r="I8" s="70"/>
      <c r="K8" s="10" t="s">
        <v>75</v>
      </c>
      <c r="L8" s="1" t="s">
        <v>192</v>
      </c>
      <c r="M8" s="2">
        <v>0.2</v>
      </c>
      <c r="N8" s="6">
        <v>46177</v>
      </c>
      <c r="P8" s="6"/>
      <c r="R8" s="5"/>
      <c r="T8" s="71" t="s">
        <v>189</v>
      </c>
    </row>
    <row r="9" spans="2:20" ht="94.5" customHeight="1" x14ac:dyDescent="0.35">
      <c r="B9" s="1" t="s">
        <v>102</v>
      </c>
      <c r="C9" s="1">
        <v>2026</v>
      </c>
      <c r="D9" s="1" t="s">
        <v>83</v>
      </c>
      <c r="E9" s="8">
        <v>6.5600000000000006E-2</v>
      </c>
      <c r="F9" s="1" t="s">
        <v>41</v>
      </c>
      <c r="G9" s="1" t="s">
        <v>185</v>
      </c>
      <c r="H9" s="1" t="s">
        <v>188</v>
      </c>
      <c r="I9" s="70" t="s">
        <v>187</v>
      </c>
      <c r="J9" s="1" t="s">
        <v>186</v>
      </c>
      <c r="K9" s="10" t="s">
        <v>222</v>
      </c>
      <c r="L9" s="1" t="s">
        <v>223</v>
      </c>
      <c r="M9" s="2">
        <v>0.2</v>
      </c>
      <c r="Q9" s="5">
        <v>750000</v>
      </c>
      <c r="R9" s="5"/>
      <c r="T9" s="71" t="s">
        <v>191</v>
      </c>
    </row>
    <row r="10" spans="2:20" ht="94.5" customHeight="1" x14ac:dyDescent="0.35">
      <c r="B10" s="1" t="s">
        <v>224</v>
      </c>
      <c r="C10" s="1">
        <v>2026</v>
      </c>
      <c r="D10" s="1" t="s">
        <v>83</v>
      </c>
      <c r="E10" s="8">
        <v>6.5600000000000006E-2</v>
      </c>
      <c r="F10" s="1" t="s">
        <v>41</v>
      </c>
      <c r="G10" s="1" t="s">
        <v>185</v>
      </c>
      <c r="H10" s="1" t="s">
        <v>188</v>
      </c>
      <c r="I10" s="70" t="s">
        <v>187</v>
      </c>
      <c r="J10" s="1" t="s">
        <v>186</v>
      </c>
      <c r="K10" s="10" t="s">
        <v>222</v>
      </c>
      <c r="L10" s="1" t="s">
        <v>223</v>
      </c>
      <c r="Q10" s="5">
        <v>750000</v>
      </c>
      <c r="R10" s="5"/>
      <c r="T10" s="71"/>
    </row>
    <row r="11" spans="2:20" ht="94.5" customHeight="1" x14ac:dyDescent="0.35">
      <c r="B11" s="1" t="s">
        <v>225</v>
      </c>
      <c r="C11" s="1">
        <v>2026</v>
      </c>
      <c r="D11" s="1" t="s">
        <v>83</v>
      </c>
      <c r="E11" s="8">
        <v>6.5600000000000006E-2</v>
      </c>
      <c r="F11" s="1" t="s">
        <v>41</v>
      </c>
      <c r="G11" s="1" t="s">
        <v>185</v>
      </c>
      <c r="H11" s="1" t="s">
        <v>188</v>
      </c>
      <c r="I11" s="70" t="s">
        <v>187</v>
      </c>
      <c r="J11" s="1" t="s">
        <v>186</v>
      </c>
      <c r="K11" s="10" t="s">
        <v>222</v>
      </c>
      <c r="L11" s="1" t="s">
        <v>223</v>
      </c>
      <c r="Q11" s="5">
        <v>750000</v>
      </c>
      <c r="R11" s="5"/>
      <c r="T11" s="71"/>
    </row>
    <row r="12" spans="2:20" x14ac:dyDescent="0.35">
      <c r="B12" s="1" t="s">
        <v>97</v>
      </c>
      <c r="E12" s="1"/>
      <c r="H12" s="23"/>
      <c r="I12" s="23"/>
      <c r="J12" s="23"/>
      <c r="K12" s="10"/>
      <c r="M12" s="1"/>
      <c r="N12" s="1"/>
      <c r="O12" s="1"/>
      <c r="P12" s="1"/>
      <c r="Q12" s="24">
        <f>SUBTOTAL(109,DATABASE42[TOTAL REQUESTED (RM)])</f>
        <v>8250000</v>
      </c>
      <c r="R12" s="24">
        <f>SUBTOTAL(109,DATABASE42[TOTAL OFFERED (RM)])</f>
        <v>300000</v>
      </c>
    </row>
    <row r="16" spans="2:20" x14ac:dyDescent="0.35">
      <c r="B16" s="1" t="s">
        <v>41</v>
      </c>
      <c r="C16" s="5" t="e">
        <f>#REF!+#REF!+#REF!+DONE!R12</f>
        <v>#REF!</v>
      </c>
      <c r="O16" s="32"/>
    </row>
    <row r="17" spans="2:3" x14ac:dyDescent="0.35">
      <c r="B17" s="1" t="s">
        <v>16</v>
      </c>
      <c r="C17" s="5" t="e">
        <f>#REF!+#REF!+#REF!+#REF!+#REF!+#REF!</f>
        <v>#REF!</v>
      </c>
    </row>
    <row r="18" spans="2:3" ht="15" thickBot="1" x14ac:dyDescent="0.4">
      <c r="C18" s="46" t="e">
        <f>SUM(C16:C17)</f>
        <v>#REF!</v>
      </c>
    </row>
    <row r="19" spans="2:3" ht="15" thickTop="1" x14ac:dyDescent="0.35">
      <c r="B19" s="1" t="s">
        <v>117</v>
      </c>
      <c r="C19" s="5">
        <f>R5</f>
        <v>300000</v>
      </c>
    </row>
    <row r="20" spans="2:3" ht="15" thickBot="1" x14ac:dyDescent="0.4">
      <c r="C20" s="46" t="e">
        <f>C18+C19</f>
        <v>#REF!</v>
      </c>
    </row>
    <row r="21" spans="2:3" ht="15" thickTop="1" x14ac:dyDescent="0.35"/>
  </sheetData>
  <phoneticPr fontId="5" type="noConversion"/>
  <conditionalFormatting sqref="K4:K11">
    <cfRule type="expression" dxfId="30" priority="5">
      <formula>$K4="IN PROGRESS"</formula>
    </cfRule>
    <cfRule type="expression" dxfId="29" priority="6">
      <formula>$K4="ON HOLD"</formula>
    </cfRule>
    <cfRule type="expression" dxfId="28" priority="7">
      <formula>$K4="DONE"</formula>
    </cfRule>
    <cfRule type="expression" dxfId="27" priority="8">
      <formula>OR($K4="DECLINED BY BANK",$K4="DECLINED BY COMPANY")</formula>
    </cfRule>
  </conditionalFormatting>
  <conditionalFormatting sqref="M4:M11">
    <cfRule type="dataBar" priority="396">
      <dataBar>
        <cfvo type="min"/>
        <cfvo type="max"/>
        <color theme="9" tint="0.39997558519241921"/>
      </dataBar>
      <extLst>
        <ext xmlns:x14="http://schemas.microsoft.com/office/spreadsheetml/2009/9/main" uri="{B025F937-C7B1-47D3-B67F-A62EFF666E3E}">
          <x14:id>{0919BF05-7752-4788-B652-B62A22E969A4}</x14:id>
        </ext>
      </extLst>
    </cfRule>
  </conditionalFormatting>
  <pageMargins left="0.25" right="0.25" top="0.75" bottom="0.75" header="0.3" footer="0.3"/>
  <pageSetup paperSize="9" scale="38" fitToHeight="0" orientation="landscape"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0919BF05-7752-4788-B652-B62A22E969A4}">
            <x14:dataBar minLength="0" maxLength="100" gradient="0" direction="leftToRight">
              <x14:cfvo type="autoMin"/>
              <x14:cfvo type="autoMax"/>
              <x14:negativeFillColor rgb="FFFF0000"/>
              <x14:axisColor rgb="FF000000"/>
            </x14:dataBar>
          </x14:cfRule>
          <xm:sqref>M4:M11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D3667-9F32-4FE8-9244-1777E05EF436}">
  <sheetPr codeName="Sheet8">
    <pageSetUpPr fitToPage="1"/>
  </sheetPr>
  <dimension ref="B1:S11"/>
  <sheetViews>
    <sheetView showGridLines="0" view="pageBreakPreview" zoomScale="70" zoomScaleNormal="70" zoomScaleSheetLayoutView="70" workbookViewId="0">
      <pane xSplit="2" ySplit="3" topLeftCell="C4" activePane="bottomRight" state="frozen"/>
      <selection pane="topRight" activeCell="F1" sqref="F1"/>
      <selection pane="bottomLeft" activeCell="A4" sqref="A4"/>
      <selection pane="bottomRight" activeCell="F5" sqref="F5"/>
    </sheetView>
  </sheetViews>
  <sheetFormatPr defaultColWidth="9.1796875" defaultRowHeight="14.5" x14ac:dyDescent="0.35"/>
  <cols>
    <col min="1" max="1" width="5.1796875" style="1" customWidth="1"/>
    <col min="2" max="2" width="15.26953125" style="1" customWidth="1"/>
    <col min="3" max="3" width="24.453125" style="1" bestFit="1" customWidth="1"/>
    <col min="4" max="4" width="28.26953125" style="1" customWidth="1"/>
    <col min="5" max="5" width="20.26953125" style="1" customWidth="1"/>
    <col min="6" max="6" width="47.54296875" style="1" customWidth="1"/>
    <col min="7" max="7" width="25.7265625" style="1" customWidth="1"/>
    <col min="8" max="8" width="38.453125" style="1" customWidth="1"/>
    <col min="9" max="10" width="29.1796875" style="1" customWidth="1"/>
    <col min="11" max="17" width="9.1796875" style="1"/>
    <col min="19" max="16384" width="9.1796875" style="1"/>
  </cols>
  <sheetData>
    <row r="1" spans="2:19" ht="24.5" x14ac:dyDescent="0.35">
      <c r="B1" s="11" t="s">
        <v>200</v>
      </c>
    </row>
    <row r="3" spans="2:19" ht="52.5" x14ac:dyDescent="0.35">
      <c r="B3" s="72" t="s">
        <v>201</v>
      </c>
      <c r="C3" s="72" t="s">
        <v>3</v>
      </c>
      <c r="D3" s="72" t="s">
        <v>4</v>
      </c>
      <c r="E3" s="72" t="s">
        <v>210</v>
      </c>
      <c r="F3" s="72" t="s">
        <v>12</v>
      </c>
      <c r="G3" s="72" t="s">
        <v>213</v>
      </c>
      <c r="H3" s="72" t="s">
        <v>211</v>
      </c>
      <c r="I3" s="72" t="s">
        <v>212</v>
      </c>
      <c r="J3" s="72" t="s">
        <v>207</v>
      </c>
      <c r="K3" s="5" t="s">
        <v>8</v>
      </c>
      <c r="L3" s="1" t="s">
        <v>123</v>
      </c>
      <c r="M3" s="1" t="s">
        <v>190</v>
      </c>
      <c r="N3" s="1" t="s">
        <v>195</v>
      </c>
      <c r="O3" s="1" t="s">
        <v>197</v>
      </c>
      <c r="P3" s="1" t="s">
        <v>199</v>
      </c>
      <c r="R3" s="1"/>
      <c r="S3"/>
    </row>
    <row r="4" spans="2:19" ht="164.25" customHeight="1" x14ac:dyDescent="0.35">
      <c r="B4" s="73">
        <v>1</v>
      </c>
      <c r="C4" s="74" t="s">
        <v>16</v>
      </c>
      <c r="D4" s="74" t="s">
        <v>202</v>
      </c>
      <c r="E4" s="75" t="s">
        <v>219</v>
      </c>
      <c r="F4" s="76" t="s">
        <v>208</v>
      </c>
      <c r="G4" s="74" t="s">
        <v>204</v>
      </c>
      <c r="H4" s="77" t="s">
        <v>214</v>
      </c>
      <c r="I4" s="77" t="s">
        <v>206</v>
      </c>
      <c r="J4" s="77" t="s">
        <v>209</v>
      </c>
      <c r="K4" s="5">
        <v>300000</v>
      </c>
      <c r="M4" s="71"/>
      <c r="N4" s="71"/>
      <c r="O4" s="71"/>
      <c r="P4" s="71"/>
      <c r="R4" s="1"/>
      <c r="S4"/>
    </row>
    <row r="5" spans="2:19" ht="164.25" customHeight="1" x14ac:dyDescent="0.35">
      <c r="B5" s="78">
        <v>2</v>
      </c>
      <c r="C5" s="79" t="s">
        <v>41</v>
      </c>
      <c r="D5" s="79" t="s">
        <v>203</v>
      </c>
      <c r="E5" s="80" t="s">
        <v>216</v>
      </c>
      <c r="F5" s="81" t="s">
        <v>215</v>
      </c>
      <c r="G5" s="79" t="s">
        <v>217</v>
      </c>
      <c r="H5" s="82" t="s">
        <v>218</v>
      </c>
      <c r="I5" s="82" t="s">
        <v>205</v>
      </c>
      <c r="J5" s="82" t="s">
        <v>209</v>
      </c>
      <c r="K5" s="5"/>
      <c r="M5" s="71"/>
      <c r="N5" s="71"/>
      <c r="O5" s="71"/>
      <c r="P5" s="71"/>
      <c r="R5" s="1"/>
      <c r="S5"/>
    </row>
    <row r="6" spans="2:19" ht="99" customHeight="1" x14ac:dyDescent="0.35">
      <c r="B6" s="71"/>
      <c r="F6" s="34"/>
      <c r="H6" s="10"/>
      <c r="I6" s="10"/>
      <c r="J6" s="10"/>
      <c r="K6" s="5"/>
      <c r="M6" s="71"/>
      <c r="N6" s="71"/>
      <c r="O6" s="71"/>
      <c r="P6" s="71"/>
      <c r="R6" s="1"/>
      <c r="S6"/>
    </row>
    <row r="7" spans="2:19" ht="99" customHeight="1" x14ac:dyDescent="0.35">
      <c r="B7" s="71"/>
      <c r="F7" s="34"/>
      <c r="H7" s="10"/>
      <c r="I7" s="10"/>
      <c r="J7" s="10"/>
      <c r="K7" s="5"/>
      <c r="M7" s="71"/>
      <c r="N7" s="71"/>
      <c r="O7" s="71"/>
      <c r="P7" s="71"/>
      <c r="R7" s="1"/>
      <c r="S7"/>
    </row>
    <row r="8" spans="2:19" ht="99" customHeight="1" x14ac:dyDescent="0.35">
      <c r="B8" s="71"/>
      <c r="F8" s="70"/>
      <c r="H8" s="10"/>
      <c r="I8" s="10"/>
      <c r="J8" s="10"/>
      <c r="K8" s="5"/>
      <c r="M8" s="71" t="s">
        <v>189</v>
      </c>
      <c r="N8" s="71"/>
      <c r="O8" s="71"/>
      <c r="P8" s="71"/>
      <c r="R8" s="1"/>
      <c r="S8"/>
    </row>
    <row r="9" spans="2:19" ht="60" customHeight="1" x14ac:dyDescent="0.35">
      <c r="B9" s="71"/>
      <c r="F9" s="70"/>
      <c r="H9" s="10"/>
      <c r="I9" s="10"/>
      <c r="J9" s="10"/>
      <c r="K9" s="5"/>
      <c r="M9" s="71" t="s">
        <v>191</v>
      </c>
      <c r="N9" s="71"/>
      <c r="O9" s="71"/>
      <c r="P9" s="71"/>
      <c r="R9" s="1"/>
      <c r="S9"/>
    </row>
    <row r="10" spans="2:19" ht="60" customHeight="1" x14ac:dyDescent="0.35">
      <c r="B10" s="71"/>
      <c r="F10" s="70"/>
      <c r="H10" s="10"/>
      <c r="I10" s="10"/>
      <c r="J10" s="10"/>
      <c r="K10" s="5"/>
      <c r="M10" s="71" t="s">
        <v>193</v>
      </c>
      <c r="N10" s="71" t="s">
        <v>194</v>
      </c>
      <c r="O10" s="71" t="s">
        <v>196</v>
      </c>
      <c r="P10" s="71" t="s">
        <v>198</v>
      </c>
      <c r="R10" s="1"/>
      <c r="S10"/>
    </row>
    <row r="11" spans="2:19" x14ac:dyDescent="0.35">
      <c r="E11" s="23"/>
      <c r="F11" s="23"/>
      <c r="G11" s="23"/>
      <c r="H11" s="10"/>
      <c r="I11" s="10"/>
      <c r="J11" s="10"/>
      <c r="K11" s="24">
        <f>SUBTOTAL(109,DATABASE427[TOTAL OFFERED (RM)])</f>
        <v>300000</v>
      </c>
      <c r="R11" s="1"/>
      <c r="S11"/>
    </row>
  </sheetData>
  <phoneticPr fontId="5" type="noConversion"/>
  <conditionalFormatting sqref="H4:J10">
    <cfRule type="expression" dxfId="26" priority="1">
      <formula>$H4="IN PROGRESS"</formula>
    </cfRule>
    <cfRule type="expression" dxfId="25" priority="2">
      <formula>$H4="ON HOLD"</formula>
    </cfRule>
    <cfRule type="expression" dxfId="24" priority="3">
      <formula>$H4="DONE"</formula>
    </cfRule>
    <cfRule type="expression" dxfId="23" priority="4">
      <formula>OR($H4="DECLINED BY BANK",$H4="DECLINED BY COMPANY")</formula>
    </cfRule>
  </conditionalFormatting>
  <pageMargins left="0.25" right="0.25" top="0.75" bottom="0.75" header="0.3" footer="0.3"/>
  <pageSetup paperSize="9" scale="55" fitToHeight="0"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034EA-6A9E-497C-8059-01482A034ABA}">
  <sheetPr codeName="Sheet7">
    <pageSetUpPr fitToPage="1"/>
  </sheetPr>
  <dimension ref="B1:S40"/>
  <sheetViews>
    <sheetView showGridLines="0" view="pageBreakPreview" zoomScale="70" zoomScaleNormal="70" zoomScaleSheetLayoutView="70" workbookViewId="0">
      <pane xSplit="6" ySplit="3" topLeftCell="G22" activePane="bottomRight" state="frozen"/>
      <selection pane="topRight" activeCell="F1" sqref="F1"/>
      <selection pane="bottomLeft" activeCell="A4" sqref="A4"/>
      <selection pane="bottomRight" activeCell="I16" sqref="C16:I17"/>
    </sheetView>
  </sheetViews>
  <sheetFormatPr defaultColWidth="9.1796875" defaultRowHeight="14" x14ac:dyDescent="0.35"/>
  <cols>
    <col min="1" max="1" width="5.1796875" style="1" customWidth="1"/>
    <col min="2" max="2" width="30.26953125" style="1" customWidth="1"/>
    <col min="3" max="3" width="21.54296875" style="1" customWidth="1"/>
    <col min="4" max="4" width="15.26953125" style="1" customWidth="1"/>
    <col min="5" max="5" width="10.1796875" style="8" customWidth="1"/>
    <col min="6" max="6" width="21.81640625" style="1" customWidth="1"/>
    <col min="7" max="7" width="24.453125" style="1" bestFit="1" customWidth="1"/>
    <col min="8" max="8" width="28.26953125" style="1" customWidth="1"/>
    <col min="9" max="9" width="20.26953125" style="1" customWidth="1"/>
    <col min="10" max="10" width="30.7265625" style="1" customWidth="1"/>
    <col min="11" max="11" width="25.7265625" style="1" customWidth="1"/>
    <col min="12" max="12" width="29.1796875" style="1" customWidth="1"/>
    <col min="13" max="13" width="27.1796875" style="2" customWidth="1"/>
    <col min="14" max="14" width="15.26953125" style="6" customWidth="1"/>
    <col min="15" max="15" width="13.7265625" style="6" hidden="1" customWidth="1"/>
    <col min="16" max="16" width="26.26953125" style="5" customWidth="1"/>
    <col min="17" max="17" width="24.81640625" style="5" bestFit="1" customWidth="1"/>
    <col min="18" max="18" width="25.81640625" style="1" customWidth="1"/>
    <col min="19" max="16384" width="9.1796875" style="1"/>
  </cols>
  <sheetData>
    <row r="1" spans="2:19" ht="24.5" x14ac:dyDescent="0.35">
      <c r="B1" s="11" t="s">
        <v>0</v>
      </c>
    </row>
    <row r="2" spans="2:19" x14ac:dyDescent="0.35">
      <c r="B2" s="3"/>
      <c r="R2" s="45" t="s">
        <v>136</v>
      </c>
    </row>
    <row r="3" spans="2:19" ht="42" x14ac:dyDescent="0.35">
      <c r="B3" s="1" t="s">
        <v>1</v>
      </c>
      <c r="C3" s="1" t="s">
        <v>81</v>
      </c>
      <c r="D3" s="1" t="s">
        <v>2</v>
      </c>
      <c r="E3" s="8" t="s">
        <v>10</v>
      </c>
      <c r="F3" s="1" t="s">
        <v>3</v>
      </c>
      <c r="G3" s="1" t="s">
        <v>4</v>
      </c>
      <c r="H3" s="1" t="s">
        <v>11</v>
      </c>
      <c r="I3" s="1" t="s">
        <v>12</v>
      </c>
      <c r="J3" s="1" t="s">
        <v>13</v>
      </c>
      <c r="K3" s="1" t="s">
        <v>5</v>
      </c>
      <c r="L3" s="1" t="s">
        <v>9</v>
      </c>
      <c r="M3" s="2" t="s">
        <v>6</v>
      </c>
      <c r="N3" s="6" t="s">
        <v>82</v>
      </c>
      <c r="O3" s="6" t="s">
        <v>116</v>
      </c>
      <c r="P3" s="6" t="s">
        <v>29</v>
      </c>
      <c r="Q3" s="5" t="s">
        <v>7</v>
      </c>
      <c r="R3" s="5" t="s">
        <v>8</v>
      </c>
      <c r="S3" s="1" t="s">
        <v>123</v>
      </c>
    </row>
    <row r="4" spans="2:19" ht="90" customHeight="1" x14ac:dyDescent="0.35">
      <c r="B4" s="1" t="s">
        <v>51</v>
      </c>
      <c r="C4" s="1">
        <v>2025</v>
      </c>
      <c r="D4" s="1" t="s">
        <v>48</v>
      </c>
      <c r="E4" s="8">
        <v>6.6500000000000004E-2</v>
      </c>
      <c r="H4" s="35"/>
      <c r="I4" s="34"/>
      <c r="K4" s="10" t="s">
        <v>138</v>
      </c>
      <c r="L4" s="1" t="s">
        <v>137</v>
      </c>
      <c r="M4" s="2">
        <v>0.3</v>
      </c>
      <c r="N4" s="44">
        <v>45673</v>
      </c>
      <c r="O4" s="33"/>
      <c r="P4" s="6"/>
      <c r="R4" s="5"/>
    </row>
    <row r="5" spans="2:19" ht="81" customHeight="1" x14ac:dyDescent="0.35">
      <c r="B5" s="1" t="s">
        <v>120</v>
      </c>
      <c r="C5" s="1">
        <v>2025</v>
      </c>
      <c r="D5" s="1" t="s">
        <v>48</v>
      </c>
      <c r="E5" s="8">
        <v>6.6500000000000004E-2</v>
      </c>
      <c r="G5" s="35"/>
      <c r="I5" s="34"/>
      <c r="K5" s="10" t="s">
        <v>138</v>
      </c>
      <c r="L5" s="1" t="s">
        <v>137</v>
      </c>
      <c r="M5" s="2">
        <v>0.3</v>
      </c>
      <c r="N5" s="44">
        <v>45673</v>
      </c>
      <c r="O5" s="44">
        <v>45804</v>
      </c>
      <c r="R5" s="5"/>
    </row>
    <row r="6" spans="2:19" ht="28" x14ac:dyDescent="0.35">
      <c r="B6" s="1" t="s">
        <v>150</v>
      </c>
      <c r="C6" s="1">
        <v>2023</v>
      </c>
      <c r="D6" s="1" t="s">
        <v>48</v>
      </c>
      <c r="E6" s="8" t="e">
        <f>VLOOKUP([1]!DATABASE[[#This Row],[BANK]],[1]!BFR[#All],2,FALSE)</f>
        <v>#REF!</v>
      </c>
      <c r="F6" s="1" t="s">
        <v>16</v>
      </c>
      <c r="G6" s="1" t="s">
        <v>45</v>
      </c>
      <c r="H6" s="4"/>
      <c r="I6" s="1" t="s">
        <v>158</v>
      </c>
      <c r="J6" s="1" t="s">
        <v>62</v>
      </c>
      <c r="K6" s="10" t="s">
        <v>138</v>
      </c>
      <c r="L6" s="1" t="s">
        <v>159</v>
      </c>
      <c r="M6" s="2">
        <v>1</v>
      </c>
      <c r="N6" s="6">
        <v>45179</v>
      </c>
      <c r="O6" s="6">
        <v>45193</v>
      </c>
      <c r="P6" s="5">
        <v>500000</v>
      </c>
    </row>
    <row r="7" spans="2:19" ht="28" x14ac:dyDescent="0.35">
      <c r="B7" s="1" t="s">
        <v>160</v>
      </c>
      <c r="C7" s="1">
        <v>2023</v>
      </c>
      <c r="D7" s="1" t="s">
        <v>48</v>
      </c>
      <c r="E7" s="8" t="e">
        <f>VLOOKUP([1]!DATABASE[[#This Row],[BANK]],[1]!BFR[#All],2,FALSE)</f>
        <v>#REF!</v>
      </c>
      <c r="F7" s="1" t="s">
        <v>16</v>
      </c>
      <c r="G7" s="1" t="s">
        <v>45</v>
      </c>
      <c r="H7" s="4"/>
      <c r="I7" s="1" t="s">
        <v>158</v>
      </c>
      <c r="J7" s="1" t="s">
        <v>62</v>
      </c>
      <c r="K7" s="10" t="s">
        <v>138</v>
      </c>
      <c r="L7" s="1" t="s">
        <v>159</v>
      </c>
      <c r="M7" s="2">
        <v>1</v>
      </c>
      <c r="N7" s="6">
        <v>45179</v>
      </c>
      <c r="O7" s="6">
        <v>45193</v>
      </c>
      <c r="P7" s="5">
        <v>500000</v>
      </c>
    </row>
    <row r="8" spans="2:19" ht="28" x14ac:dyDescent="0.35">
      <c r="B8" s="1" t="s">
        <v>161</v>
      </c>
      <c r="C8" s="1">
        <v>2023</v>
      </c>
      <c r="D8" s="1" t="s">
        <v>48</v>
      </c>
      <c r="E8" s="8" t="e">
        <f>VLOOKUP([1]!DATABASE[[#This Row],[BANK]],[1]!BFR[#All],2,FALSE)</f>
        <v>#REF!</v>
      </c>
      <c r="F8" s="1" t="s">
        <v>16</v>
      </c>
      <c r="G8" s="1" t="s">
        <v>45</v>
      </c>
      <c r="H8" s="4"/>
      <c r="I8" s="1" t="s">
        <v>158</v>
      </c>
      <c r="J8" s="1" t="s">
        <v>62</v>
      </c>
      <c r="K8" s="10" t="s">
        <v>138</v>
      </c>
      <c r="L8" s="1" t="s">
        <v>159</v>
      </c>
      <c r="M8" s="2">
        <v>1</v>
      </c>
      <c r="N8" s="6">
        <v>45179</v>
      </c>
      <c r="O8" s="6">
        <v>45193</v>
      </c>
      <c r="P8" s="5">
        <v>500000</v>
      </c>
    </row>
    <row r="9" spans="2:19" ht="28" x14ac:dyDescent="0.35">
      <c r="B9" s="1" t="s">
        <v>162</v>
      </c>
      <c r="C9" s="1">
        <v>2023</v>
      </c>
      <c r="D9" s="1" t="s">
        <v>48</v>
      </c>
      <c r="E9" s="8" t="e">
        <f>VLOOKUP([1]!DATABASE[[#This Row],[BANK]],[1]!BFR[#All],2,FALSE)</f>
        <v>#REF!</v>
      </c>
      <c r="F9" s="1" t="s">
        <v>16</v>
      </c>
      <c r="G9" s="1" t="s">
        <v>45</v>
      </c>
      <c r="H9" s="4"/>
      <c r="I9" s="1" t="s">
        <v>158</v>
      </c>
      <c r="J9" s="1" t="s">
        <v>62</v>
      </c>
      <c r="K9" s="10" t="s">
        <v>138</v>
      </c>
      <c r="L9" s="1" t="s">
        <v>159</v>
      </c>
      <c r="M9" s="2">
        <v>1</v>
      </c>
      <c r="N9" s="6">
        <v>45179</v>
      </c>
      <c r="O9" s="6">
        <v>45195</v>
      </c>
      <c r="P9" s="5">
        <v>500000</v>
      </c>
    </row>
    <row r="10" spans="2:19" ht="28" x14ac:dyDescent="0.35">
      <c r="B10" s="1" t="s">
        <v>163</v>
      </c>
      <c r="C10" s="1">
        <v>2023</v>
      </c>
      <c r="D10" s="1" t="s">
        <v>48</v>
      </c>
      <c r="E10" s="8" t="e">
        <f>VLOOKUP([1]!DATABASE[[#This Row],[BANK]],[1]!BFR[#All],2,FALSE)</f>
        <v>#REF!</v>
      </c>
      <c r="F10" s="1" t="s">
        <v>16</v>
      </c>
      <c r="G10" s="1" t="s">
        <v>45</v>
      </c>
      <c r="H10" s="4"/>
      <c r="I10" s="1" t="s">
        <v>158</v>
      </c>
      <c r="J10" s="1" t="s">
        <v>62</v>
      </c>
      <c r="K10" s="10" t="s">
        <v>138</v>
      </c>
      <c r="L10" s="1" t="s">
        <v>159</v>
      </c>
      <c r="M10" s="2">
        <v>1</v>
      </c>
      <c r="N10" s="6">
        <v>45179</v>
      </c>
      <c r="O10" s="6">
        <v>45195</v>
      </c>
      <c r="P10" s="5">
        <v>500000</v>
      </c>
    </row>
    <row r="11" spans="2:19" ht="28" x14ac:dyDescent="0.35">
      <c r="B11" s="1" t="s">
        <v>164</v>
      </c>
      <c r="C11" s="1">
        <v>2023</v>
      </c>
      <c r="D11" s="1" t="s">
        <v>48</v>
      </c>
      <c r="E11" s="8" t="e">
        <f>VLOOKUP([1]!DATABASE[[#This Row],[BANK]],[1]!BFR[#All],2,FALSE)</f>
        <v>#REF!</v>
      </c>
      <c r="F11" s="1" t="s">
        <v>16</v>
      </c>
      <c r="G11" s="1" t="s">
        <v>45</v>
      </c>
      <c r="H11" s="4"/>
      <c r="I11" s="1" t="s">
        <v>158</v>
      </c>
      <c r="J11" s="1" t="s">
        <v>62</v>
      </c>
      <c r="K11" s="10" t="s">
        <v>138</v>
      </c>
      <c r="L11" s="1" t="s">
        <v>159</v>
      </c>
      <c r="M11" s="2">
        <v>1</v>
      </c>
      <c r="N11" s="6">
        <v>45179</v>
      </c>
      <c r="O11" s="6">
        <v>45195</v>
      </c>
      <c r="P11" s="5">
        <v>500000</v>
      </c>
    </row>
    <row r="12" spans="2:19" ht="42" x14ac:dyDescent="0.35">
      <c r="B12" s="1" t="s">
        <v>54</v>
      </c>
      <c r="C12" s="1">
        <v>2023</v>
      </c>
      <c r="D12" s="1" t="s">
        <v>48</v>
      </c>
      <c r="E12" s="8" t="e">
        <f>VLOOKUP([1]!DATABASE[[#This Row],[BANK]],[1]!BFR[#All],2,FALSE)</f>
        <v>#REF!</v>
      </c>
      <c r="F12" s="1" t="s">
        <v>16</v>
      </c>
      <c r="G12" s="1" t="s">
        <v>45</v>
      </c>
      <c r="H12" s="4"/>
      <c r="I12" s="1" t="s">
        <v>158</v>
      </c>
      <c r="J12" s="1" t="s">
        <v>62</v>
      </c>
      <c r="K12" s="10" t="s">
        <v>138</v>
      </c>
      <c r="L12" s="1" t="s">
        <v>165</v>
      </c>
      <c r="M12" s="2">
        <v>1</v>
      </c>
      <c r="N12" s="6">
        <v>45179</v>
      </c>
      <c r="O12" s="6">
        <v>45195</v>
      </c>
      <c r="P12" s="5">
        <v>500000</v>
      </c>
    </row>
    <row r="13" spans="2:19" ht="42" x14ac:dyDescent="0.35">
      <c r="B13" s="1" t="s">
        <v>27</v>
      </c>
      <c r="C13" s="1">
        <v>2022</v>
      </c>
      <c r="D13" s="1" t="s">
        <v>31</v>
      </c>
      <c r="E13" s="8" t="e">
        <f>VLOOKUP([1]!DATABASE[[#This Row],[BANK]],[1]!BFR[#All],2,FALSE)</f>
        <v>#REF!</v>
      </c>
      <c r="F13" s="1" t="s">
        <v>16</v>
      </c>
      <c r="G13" s="1" t="s">
        <v>139</v>
      </c>
      <c r="H13" s="1" t="s">
        <v>34</v>
      </c>
      <c r="I13" s="1">
        <v>0</v>
      </c>
      <c r="J13" s="1" t="s">
        <v>140</v>
      </c>
      <c r="K13" s="10" t="s">
        <v>138</v>
      </c>
      <c r="L13" s="1" t="s">
        <v>141</v>
      </c>
      <c r="M13" s="2">
        <v>1</v>
      </c>
      <c r="O13" s="6">
        <v>44791</v>
      </c>
      <c r="P13" s="5">
        <v>2500000</v>
      </c>
      <c r="Q13" s="5">
        <v>1000000</v>
      </c>
    </row>
    <row r="14" spans="2:19" ht="70" x14ac:dyDescent="0.35">
      <c r="B14" s="1" t="s">
        <v>52</v>
      </c>
      <c r="C14" s="1">
        <v>2022</v>
      </c>
      <c r="D14" s="1" t="s">
        <v>31</v>
      </c>
      <c r="E14" s="8" t="e">
        <f>VLOOKUP([1]!DATABASE[[#This Row],[BANK]],[1]!BFR[#All],2,FALSE)</f>
        <v>#REF!</v>
      </c>
      <c r="F14" s="1" t="s">
        <v>16</v>
      </c>
      <c r="G14" s="1" t="s">
        <v>142</v>
      </c>
      <c r="H14" s="1" t="s">
        <v>143</v>
      </c>
      <c r="I14" s="1" t="s">
        <v>144</v>
      </c>
      <c r="J14" s="1" t="s">
        <v>145</v>
      </c>
      <c r="K14" s="10" t="s">
        <v>138</v>
      </c>
      <c r="L14" s="1" t="s">
        <v>141</v>
      </c>
      <c r="M14" s="2">
        <v>1</v>
      </c>
      <c r="O14" s="6">
        <v>44732</v>
      </c>
      <c r="P14" s="5">
        <v>2500000</v>
      </c>
    </row>
    <row r="15" spans="2:19" ht="70" x14ac:dyDescent="0.35">
      <c r="B15" s="1" t="s">
        <v>54</v>
      </c>
      <c r="C15" s="1">
        <v>2022</v>
      </c>
      <c r="D15" s="1" t="s">
        <v>31</v>
      </c>
      <c r="E15" s="8" t="e">
        <f>VLOOKUP([1]!DATABASE[[#This Row],[BANK]],[1]!BFR[#All],2,FALSE)</f>
        <v>#REF!</v>
      </c>
      <c r="F15" s="8" t="s">
        <v>146</v>
      </c>
      <c r="G15" s="1" t="s">
        <v>147</v>
      </c>
      <c r="H15" s="1" t="s">
        <v>148</v>
      </c>
      <c r="I15" s="1" t="s">
        <v>149</v>
      </c>
      <c r="J15" s="1" t="s">
        <v>35</v>
      </c>
      <c r="K15" s="10" t="s">
        <v>138</v>
      </c>
      <c r="L15" s="1" t="s">
        <v>141</v>
      </c>
      <c r="M15" s="2">
        <v>1</v>
      </c>
      <c r="O15" s="6">
        <v>44802</v>
      </c>
      <c r="P15" s="5">
        <v>500000</v>
      </c>
    </row>
    <row r="16" spans="2:19" ht="70" x14ac:dyDescent="0.35">
      <c r="B16" s="1" t="s">
        <v>150</v>
      </c>
      <c r="C16" s="1">
        <v>2022</v>
      </c>
      <c r="D16" s="1" t="s">
        <v>31</v>
      </c>
      <c r="E16" s="8" t="e">
        <f>VLOOKUP([1]!DATABASE[[#This Row],[BANK]],[1]!BFR[#All],2,FALSE)</f>
        <v>#REF!</v>
      </c>
      <c r="F16" s="8" t="s">
        <v>146</v>
      </c>
      <c r="G16" s="1" t="s">
        <v>147</v>
      </c>
      <c r="H16" s="1" t="s">
        <v>148</v>
      </c>
      <c r="I16" s="1">
        <v>3.5000000000000003E-2</v>
      </c>
      <c r="J16" s="1" t="s">
        <v>151</v>
      </c>
      <c r="K16" s="10" t="s">
        <v>138</v>
      </c>
      <c r="L16" s="1" t="s">
        <v>141</v>
      </c>
      <c r="M16" s="2">
        <v>1</v>
      </c>
      <c r="O16" s="6">
        <v>44790</v>
      </c>
      <c r="P16" s="5">
        <v>500000</v>
      </c>
    </row>
    <row r="17" spans="2:18" ht="70" x14ac:dyDescent="0.35">
      <c r="B17" s="1" t="s">
        <v>56</v>
      </c>
      <c r="C17" s="1">
        <v>2022</v>
      </c>
      <c r="D17" s="1" t="s">
        <v>31</v>
      </c>
      <c r="E17" s="8" t="e">
        <f>VLOOKUP([1]!DATABASE[[#This Row],[BANK]],[1]!BFR[#All],2,FALSE)</f>
        <v>#REF!</v>
      </c>
      <c r="F17" s="8" t="s">
        <v>146</v>
      </c>
      <c r="G17" s="1" t="s">
        <v>147</v>
      </c>
      <c r="H17" s="1" t="s">
        <v>148</v>
      </c>
      <c r="I17" s="1" t="s">
        <v>149</v>
      </c>
      <c r="J17" s="1" t="s">
        <v>35</v>
      </c>
      <c r="K17" s="10" t="s">
        <v>138</v>
      </c>
      <c r="L17" s="1" t="s">
        <v>141</v>
      </c>
      <c r="M17" s="2">
        <v>1</v>
      </c>
      <c r="O17" s="6">
        <v>44802</v>
      </c>
      <c r="P17" s="5">
        <v>500000</v>
      </c>
    </row>
    <row r="18" spans="2:18" ht="70" x14ac:dyDescent="0.35">
      <c r="B18" s="1" t="s">
        <v>152</v>
      </c>
      <c r="C18" s="1">
        <v>2022</v>
      </c>
      <c r="D18" s="1" t="s">
        <v>31</v>
      </c>
      <c r="E18" s="8" t="e">
        <f>VLOOKUP([1]!DATABASE[[#This Row],[BANK]],[1]!BFR[#All],2,FALSE)</f>
        <v>#REF!</v>
      </c>
      <c r="F18" s="8" t="s">
        <v>146</v>
      </c>
      <c r="G18" s="1" t="s">
        <v>147</v>
      </c>
      <c r="H18" s="1" t="s">
        <v>148</v>
      </c>
      <c r="I18" s="1" t="s">
        <v>149</v>
      </c>
      <c r="J18" s="1" t="s">
        <v>35</v>
      </c>
      <c r="K18" s="10" t="s">
        <v>138</v>
      </c>
      <c r="L18" s="1" t="s">
        <v>141</v>
      </c>
      <c r="M18" s="2">
        <v>1</v>
      </c>
      <c r="O18" s="6">
        <v>44671</v>
      </c>
      <c r="P18" s="5">
        <v>500000</v>
      </c>
    </row>
    <row r="19" spans="2:18" ht="70" x14ac:dyDescent="0.35">
      <c r="B19" s="1" t="s">
        <v>33</v>
      </c>
      <c r="C19" s="1">
        <v>2022</v>
      </c>
      <c r="D19" s="1" t="s">
        <v>31</v>
      </c>
      <c r="E19" s="8" t="e">
        <f>VLOOKUP([1]!DATABASE[[#This Row],[BANK]],[1]!BFR[#All],2,FALSE)</f>
        <v>#REF!</v>
      </c>
      <c r="F19" s="1" t="s">
        <v>146</v>
      </c>
      <c r="G19" s="1" t="s">
        <v>147</v>
      </c>
      <c r="H19" s="1" t="s">
        <v>153</v>
      </c>
      <c r="I19" s="7">
        <v>3.5000000000000003E-2</v>
      </c>
      <c r="J19" s="1" t="s">
        <v>35</v>
      </c>
      <c r="K19" s="10" t="s">
        <v>138</v>
      </c>
      <c r="L19" s="1" t="s">
        <v>154</v>
      </c>
      <c r="M19" s="2">
        <v>1</v>
      </c>
      <c r="O19" s="6">
        <v>44802</v>
      </c>
      <c r="P19" s="5">
        <v>500000</v>
      </c>
      <c r="Q19" s="49"/>
    </row>
    <row r="20" spans="2:18" ht="42" x14ac:dyDescent="0.35">
      <c r="B20" s="1" t="s">
        <v>14</v>
      </c>
      <c r="C20" s="1">
        <v>2022</v>
      </c>
      <c r="D20" s="1" t="s">
        <v>15</v>
      </c>
      <c r="E20" s="8" t="e">
        <f>VLOOKUP([1]!DATABASE[[#This Row],[BANK]],[1]!BFR[#All],2,FALSE)</f>
        <v>#REF!</v>
      </c>
      <c r="F20" s="1" t="s">
        <v>16</v>
      </c>
      <c r="G20" s="1" t="s">
        <v>155</v>
      </c>
      <c r="H20" s="4"/>
      <c r="I20" s="4"/>
      <c r="J20" s="4"/>
      <c r="K20" s="10" t="s">
        <v>138</v>
      </c>
      <c r="L20" s="1" t="s">
        <v>156</v>
      </c>
      <c r="M20" s="2">
        <v>1</v>
      </c>
      <c r="O20" s="6">
        <v>44696</v>
      </c>
      <c r="P20" s="49"/>
      <c r="Q20" s="49"/>
    </row>
    <row r="21" spans="2:18" ht="28" x14ac:dyDescent="0.35">
      <c r="B21" s="1" t="s">
        <v>19</v>
      </c>
      <c r="C21" s="1">
        <v>2022</v>
      </c>
      <c r="D21" s="1" t="s">
        <v>20</v>
      </c>
      <c r="E21" s="8" t="e">
        <f>VLOOKUP([1]!DATABASE[[#This Row],[BANK]],[1]!BFR[#All],2,FALSE)</f>
        <v>#REF!</v>
      </c>
      <c r="F21" s="1" t="s">
        <v>16</v>
      </c>
      <c r="G21" s="1" t="s">
        <v>21</v>
      </c>
      <c r="H21" s="1" t="s">
        <v>34</v>
      </c>
      <c r="I21" s="1" t="s">
        <v>22</v>
      </c>
      <c r="J21" s="1" t="s">
        <v>23</v>
      </c>
      <c r="K21" s="10" t="s">
        <v>138</v>
      </c>
      <c r="L21" s="1" t="s">
        <v>157</v>
      </c>
      <c r="M21" s="2">
        <v>1</v>
      </c>
      <c r="O21" s="6">
        <v>44797</v>
      </c>
      <c r="P21" s="5">
        <v>1000000</v>
      </c>
      <c r="Q21" s="49"/>
    </row>
    <row r="22" spans="2:18" ht="42" x14ac:dyDescent="0.35">
      <c r="B22" s="1" t="s">
        <v>17</v>
      </c>
      <c r="C22" s="1">
        <v>2022</v>
      </c>
      <c r="D22" s="1" t="s">
        <v>15</v>
      </c>
      <c r="E22" s="8" t="e">
        <f>VLOOKUP([1]!DATABASE[[#This Row],[BANK]],[1]!BFR[#All],2,FALSE)</f>
        <v>#REF!</v>
      </c>
      <c r="F22" s="1" t="s">
        <v>16</v>
      </c>
      <c r="G22" s="1" t="s">
        <v>155</v>
      </c>
      <c r="H22" s="4"/>
      <c r="I22" s="4"/>
      <c r="J22" s="4"/>
      <c r="K22" s="10" t="s">
        <v>138</v>
      </c>
      <c r="L22" s="1" t="s">
        <v>156</v>
      </c>
      <c r="M22" s="2">
        <v>1</v>
      </c>
      <c r="O22" s="6">
        <v>44783</v>
      </c>
      <c r="P22" s="49"/>
      <c r="Q22" s="49"/>
    </row>
    <row r="23" spans="2:18" ht="70" x14ac:dyDescent="0.35">
      <c r="B23" s="1" t="s">
        <v>30</v>
      </c>
      <c r="C23" s="1">
        <v>2022</v>
      </c>
      <c r="D23" s="1" t="s">
        <v>31</v>
      </c>
      <c r="E23" s="8" t="e">
        <f>VLOOKUP([1]!DATABASE[[#This Row],[BANK]],[1]!BFR[#All],2,FALSE)</f>
        <v>#REF!</v>
      </c>
      <c r="F23" s="1" t="s">
        <v>146</v>
      </c>
      <c r="G23" s="1" t="s">
        <v>147</v>
      </c>
      <c r="H23" s="1" t="s">
        <v>153</v>
      </c>
      <c r="I23" s="50">
        <v>3.5000000000000003E-2</v>
      </c>
      <c r="J23" s="1" t="s">
        <v>35</v>
      </c>
      <c r="K23" s="10" t="s">
        <v>138</v>
      </c>
      <c r="L23" s="1" t="s">
        <v>154</v>
      </c>
      <c r="M23" s="2">
        <v>1</v>
      </c>
      <c r="O23" s="6">
        <v>44788</v>
      </c>
      <c r="P23" s="5">
        <v>500000</v>
      </c>
      <c r="Q23" s="49"/>
    </row>
    <row r="24" spans="2:18" ht="42" x14ac:dyDescent="0.35">
      <c r="B24" s="1" t="s">
        <v>27</v>
      </c>
      <c r="C24" s="1">
        <v>2022</v>
      </c>
      <c r="D24" s="1" t="s">
        <v>15</v>
      </c>
      <c r="E24" s="8" t="e">
        <f>VLOOKUP([1]!DATABASE[[#This Row],[BANK]],[1]!BFR[#All],2,FALSE)</f>
        <v>#REF!</v>
      </c>
      <c r="F24" s="1" t="s">
        <v>16</v>
      </c>
      <c r="G24" s="1" t="s">
        <v>155</v>
      </c>
      <c r="H24" s="4"/>
      <c r="I24" s="4"/>
      <c r="J24" s="4"/>
      <c r="K24" s="10" t="s">
        <v>138</v>
      </c>
      <c r="L24" s="1" t="s">
        <v>156</v>
      </c>
      <c r="M24" s="2">
        <v>1</v>
      </c>
      <c r="O24" s="6">
        <v>44783</v>
      </c>
      <c r="P24" s="49"/>
      <c r="Q24" s="49"/>
    </row>
    <row r="25" spans="2:18" ht="42" x14ac:dyDescent="0.35">
      <c r="B25" s="1" t="s">
        <v>18</v>
      </c>
      <c r="C25" s="1">
        <v>2022</v>
      </c>
      <c r="D25" s="1" t="s">
        <v>15</v>
      </c>
      <c r="E25" s="8" t="e">
        <f>VLOOKUP([1]!DATABASE[[#This Row],[BANK]],[1]!BFR[#All],2,FALSE)</f>
        <v>#REF!</v>
      </c>
      <c r="F25" s="1" t="s">
        <v>16</v>
      </c>
      <c r="G25" s="1" t="s">
        <v>155</v>
      </c>
      <c r="H25" s="4"/>
      <c r="I25" s="4"/>
      <c r="J25" s="4"/>
      <c r="K25" s="10" t="s">
        <v>138</v>
      </c>
      <c r="L25" s="1" t="s">
        <v>156</v>
      </c>
      <c r="M25" s="2">
        <v>1</v>
      </c>
      <c r="O25" s="6">
        <v>44696</v>
      </c>
      <c r="P25" s="49"/>
      <c r="Q25" s="49"/>
    </row>
    <row r="26" spans="2:18" ht="70" x14ac:dyDescent="0.35">
      <c r="B26" s="1" t="s">
        <v>32</v>
      </c>
      <c r="C26" s="1">
        <v>2022</v>
      </c>
      <c r="D26" s="1" t="s">
        <v>31</v>
      </c>
      <c r="E26" s="8" t="e">
        <f>VLOOKUP([1]!DATABASE[[#This Row],[BANK]],[1]!BFR[#All],2,FALSE)</f>
        <v>#REF!</v>
      </c>
      <c r="F26" s="1" t="s">
        <v>146</v>
      </c>
      <c r="G26" s="1" t="s">
        <v>147</v>
      </c>
      <c r="H26" s="1" t="s">
        <v>153</v>
      </c>
      <c r="I26" s="50">
        <v>3.5000000000000003E-2</v>
      </c>
      <c r="J26" s="1" t="s">
        <v>35</v>
      </c>
      <c r="K26" s="10" t="s">
        <v>138</v>
      </c>
      <c r="L26" s="1" t="s">
        <v>154</v>
      </c>
      <c r="M26" s="2">
        <v>1</v>
      </c>
      <c r="O26" s="6">
        <v>44788</v>
      </c>
      <c r="P26" s="5">
        <v>500000</v>
      </c>
      <c r="Q26" s="49"/>
    </row>
    <row r="27" spans="2:18" ht="70" x14ac:dyDescent="0.35">
      <c r="B27" s="1" t="s">
        <v>55</v>
      </c>
      <c r="C27" s="1">
        <v>2022</v>
      </c>
      <c r="D27" s="1" t="s">
        <v>31</v>
      </c>
      <c r="E27" s="8" t="e">
        <f>VLOOKUP([1]!DATABASE[[#This Row],[BANK]],[1]!BFR[#All],2,FALSE)</f>
        <v>#REF!</v>
      </c>
      <c r="F27" s="8" t="s">
        <v>146</v>
      </c>
      <c r="G27" s="1" t="s">
        <v>147</v>
      </c>
      <c r="H27" s="1" t="s">
        <v>148</v>
      </c>
      <c r="I27" s="1" t="s">
        <v>149</v>
      </c>
      <c r="J27" s="1" t="s">
        <v>35</v>
      </c>
      <c r="K27" s="10" t="s">
        <v>138</v>
      </c>
      <c r="L27" s="1" t="s">
        <v>141</v>
      </c>
      <c r="M27" s="2">
        <v>1</v>
      </c>
      <c r="O27" s="6">
        <v>44802</v>
      </c>
      <c r="P27" s="5">
        <v>500000</v>
      </c>
    </row>
    <row r="28" spans="2:18" ht="56" x14ac:dyDescent="0.35">
      <c r="B28" s="1" t="s">
        <v>18</v>
      </c>
      <c r="C28" s="1">
        <v>2022</v>
      </c>
      <c r="D28" s="1" t="s">
        <v>20</v>
      </c>
      <c r="E28" s="8" t="e">
        <f>VLOOKUP([1]!DATABASE[[#This Row],[BANK]],[1]!BFR[#All],2,FALSE)</f>
        <v>#REF!</v>
      </c>
      <c r="F28" s="1" t="s">
        <v>16</v>
      </c>
      <c r="G28" s="1" t="s">
        <v>21</v>
      </c>
      <c r="H28" s="1" t="s">
        <v>166</v>
      </c>
      <c r="I28" s="1" t="s">
        <v>22</v>
      </c>
      <c r="J28" s="1" t="s">
        <v>23</v>
      </c>
      <c r="K28" s="10" t="s">
        <v>167</v>
      </c>
      <c r="L28" s="1" t="s">
        <v>168</v>
      </c>
      <c r="M28" s="2">
        <v>1</v>
      </c>
      <c r="O28" s="6">
        <v>44787</v>
      </c>
      <c r="P28" s="5">
        <v>1000000</v>
      </c>
    </row>
    <row r="29" spans="2:18" ht="28" x14ac:dyDescent="0.35">
      <c r="B29" s="1" t="s">
        <v>18</v>
      </c>
      <c r="C29" s="1">
        <v>2022</v>
      </c>
      <c r="D29" s="1" t="s">
        <v>20</v>
      </c>
      <c r="E29" s="8" t="e">
        <f>VLOOKUP([1]!DATABASE[[#This Row],[BANK]],[1]!BFR[#All],2,FALSE)</f>
        <v>#REF!</v>
      </c>
      <c r="F29" s="1" t="s">
        <v>24</v>
      </c>
      <c r="G29" s="1" t="s">
        <v>25</v>
      </c>
      <c r="H29" s="1" t="s">
        <v>26</v>
      </c>
      <c r="I29" s="1" t="s">
        <v>22</v>
      </c>
      <c r="J29" s="1" t="s">
        <v>23</v>
      </c>
      <c r="K29" s="10" t="s">
        <v>167</v>
      </c>
      <c r="L29" s="1" t="s">
        <v>168</v>
      </c>
      <c r="M29" s="2">
        <v>1</v>
      </c>
      <c r="O29" s="6">
        <v>44787</v>
      </c>
      <c r="P29" s="5">
        <v>500000</v>
      </c>
    </row>
    <row r="30" spans="2:18" ht="56" x14ac:dyDescent="0.35">
      <c r="B30" s="1" t="s">
        <v>28</v>
      </c>
      <c r="C30" s="1">
        <v>2022</v>
      </c>
      <c r="D30" s="1" t="s">
        <v>20</v>
      </c>
      <c r="E30" s="8" t="e">
        <f>VLOOKUP([1]!DATABASE[[#This Row],[BANK]],[1]!BFR[#All],2,FALSE)</f>
        <v>#REF!</v>
      </c>
      <c r="F30" s="1" t="s">
        <v>16</v>
      </c>
      <c r="G30" s="1" t="s">
        <v>21</v>
      </c>
      <c r="H30" s="1" t="s">
        <v>169</v>
      </c>
      <c r="I30" s="1" t="s">
        <v>22</v>
      </c>
      <c r="J30" s="1" t="s">
        <v>23</v>
      </c>
      <c r="K30" s="10" t="s">
        <v>167</v>
      </c>
      <c r="L30" s="1" t="s">
        <v>168</v>
      </c>
      <c r="M30" s="2">
        <v>1</v>
      </c>
      <c r="O30" s="6">
        <v>44728</v>
      </c>
      <c r="P30" s="5">
        <v>300000</v>
      </c>
    </row>
    <row r="31" spans="2:18" ht="14.5" x14ac:dyDescent="0.35">
      <c r="B31" s="1" t="s">
        <v>97</v>
      </c>
      <c r="E31" s="1"/>
      <c r="H31" s="23"/>
      <c r="I31" s="23"/>
      <c r="J31" s="23"/>
      <c r="K31" s="10"/>
      <c r="M31" s="1"/>
      <c r="N31" s="1"/>
      <c r="O31" s="1"/>
      <c r="P31" s="1"/>
      <c r="Q31" s="24">
        <f>SUBTOTAL(109,DATABASE46[TOTAL REQUESTED (RM)])</f>
        <v>1000000</v>
      </c>
      <c r="R31" s="24">
        <f>SUBTOTAL(109,DATABASE46[TOTAL OFFERED (RM)])</f>
        <v>0</v>
      </c>
    </row>
    <row r="35" spans="2:15" x14ac:dyDescent="0.35">
      <c r="B35" s="1" t="s">
        <v>41</v>
      </c>
      <c r="C35" s="5" t="e">
        <f>#REF!+#REF!+#REF!+#REF!</f>
        <v>#REF!</v>
      </c>
      <c r="O35" s="32"/>
    </row>
    <row r="36" spans="2:15" x14ac:dyDescent="0.35">
      <c r="B36" s="1" t="s">
        <v>16</v>
      </c>
      <c r="C36" s="5" t="e">
        <f>#REF!+#REF!+#REF!+#REF!+#REF!+#REF!</f>
        <v>#REF!</v>
      </c>
    </row>
    <row r="37" spans="2:15" ht="14.5" thickBot="1" x14ac:dyDescent="0.4">
      <c r="C37" s="46" t="e">
        <f>SUM(C35:C36)</f>
        <v>#REF!</v>
      </c>
    </row>
    <row r="38" spans="2:15" ht="14.5" thickTop="1" x14ac:dyDescent="0.35">
      <c r="B38" s="1" t="s">
        <v>117</v>
      </c>
      <c r="C38" s="5" t="e">
        <f>#REF!</f>
        <v>#REF!</v>
      </c>
    </row>
    <row r="39" spans="2:15" ht="14.5" thickBot="1" x14ac:dyDescent="0.4">
      <c r="C39" s="46" t="e">
        <f>C37+C38</f>
        <v>#REF!</v>
      </c>
    </row>
    <row r="40" spans="2:15" ht="14.5" thickTop="1" x14ac:dyDescent="0.35"/>
  </sheetData>
  <conditionalFormatting sqref="K4:K30">
    <cfRule type="expression" dxfId="22" priority="8">
      <formula>$K4="IN PROGRESS"</formula>
    </cfRule>
    <cfRule type="expression" dxfId="21" priority="9">
      <formula>$K4="ON HOLD"</formula>
    </cfRule>
    <cfRule type="expression" dxfId="20" priority="10">
      <formula>$K4="DONE"</formula>
    </cfRule>
    <cfRule type="expression" dxfId="19" priority="11">
      <formula>OR($K4="DECLINED BY BANK",$K4="DECLINED BY COMPANY")</formula>
    </cfRule>
  </conditionalFormatting>
  <conditionalFormatting sqref="M6:M30">
    <cfRule type="dataBar" priority="7">
      <dataBar>
        <cfvo type="min"/>
        <cfvo type="max"/>
        <color theme="9" tint="0.39997558519241921"/>
      </dataBar>
      <extLst>
        <ext xmlns:x14="http://schemas.microsoft.com/office/spreadsheetml/2009/9/main" uri="{B025F937-C7B1-47D3-B67F-A62EFF666E3E}">
          <x14:id>{8F8748E9-3AA8-4C51-B46D-C1186C7CE7AA}</x14:id>
        </ext>
      </extLst>
    </cfRule>
  </conditionalFormatting>
  <pageMargins left="0.25" right="0.25" top="0.75" bottom="0.75" header="0.3" footer="0.3"/>
  <pageSetup paperSize="9" scale="37" fitToHeight="0" orientation="landscape"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8F8748E9-3AA8-4C51-B46D-C1186C7CE7AA}">
            <x14:dataBar minLength="0" maxLength="100" gradient="0" direction="leftToRight">
              <x14:cfvo type="autoMin"/>
              <x14:cfvo type="autoMax"/>
              <x14:negativeFillColor rgb="FFFF0000"/>
              <x14:axisColor rgb="FF000000"/>
            </x14:dataBar>
          </x14:cfRule>
          <xm:sqref>M6:M30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3:F24"/>
  <sheetViews>
    <sheetView showGridLines="0" zoomScale="115" zoomScaleNormal="115" workbookViewId="0">
      <selection activeCell="C18" sqref="C18"/>
    </sheetView>
  </sheetViews>
  <sheetFormatPr defaultRowHeight="14.5" x14ac:dyDescent="0.35"/>
  <cols>
    <col min="1" max="1" width="6.81640625" customWidth="1"/>
    <col min="2" max="2" width="21.81640625" bestFit="1" customWidth="1"/>
    <col min="4" max="4" width="9.1796875" style="9"/>
    <col min="5" max="5" width="13.81640625" bestFit="1" customWidth="1"/>
  </cols>
  <sheetData>
    <row r="3" spans="2:6" x14ac:dyDescent="0.35">
      <c r="B3" s="22" t="s">
        <v>135</v>
      </c>
    </row>
    <row r="4" spans="2:6" x14ac:dyDescent="0.35">
      <c r="B4" t="s">
        <v>2</v>
      </c>
      <c r="C4" s="48" t="s">
        <v>134</v>
      </c>
      <c r="D4" s="47" t="s">
        <v>133</v>
      </c>
      <c r="E4" s="26" t="s">
        <v>98</v>
      </c>
      <c r="F4" t="s">
        <v>123</v>
      </c>
    </row>
    <row r="5" spans="2:6" x14ac:dyDescent="0.35">
      <c r="B5" t="s">
        <v>88</v>
      </c>
      <c r="C5" s="27">
        <f>BFR[[#This Row],[May-23]]-0.0025</f>
        <v>6.3500000000000001E-2</v>
      </c>
      <c r="D5" s="30">
        <v>6.6000000000000003E-2</v>
      </c>
      <c r="E5" s="28">
        <f>BFR[[#This Row],[Jul-25]]-BFR[[#This Row],[May-23]]</f>
        <v>-2.5000000000000022E-3</v>
      </c>
    </row>
    <row r="6" spans="2:6" x14ac:dyDescent="0.35">
      <c r="B6" t="s">
        <v>48</v>
      </c>
      <c r="C6" s="27">
        <f>BFR[[#This Row],[May-23]]-0.0025</f>
        <v>6.4000000000000001E-2</v>
      </c>
      <c r="D6" s="30">
        <v>6.6500000000000004E-2</v>
      </c>
      <c r="E6" s="28">
        <f>BFR[[#This Row],[Jul-25]]-BFR[[#This Row],[May-23]]</f>
        <v>-2.5000000000000022E-3</v>
      </c>
    </row>
    <row r="7" spans="2:6" x14ac:dyDescent="0.35">
      <c r="B7" t="s">
        <v>85</v>
      </c>
      <c r="C7" s="27">
        <f>BFR[[#This Row],[May-23]]-0.0025</f>
        <v>6.4199999999999993E-2</v>
      </c>
      <c r="D7" s="30">
        <v>6.6699999999999995E-2</v>
      </c>
      <c r="E7" s="28">
        <f>BFR[[#This Row],[Jul-25]]-BFR[[#This Row],[May-23]]</f>
        <v>-2.5000000000000022E-3</v>
      </c>
    </row>
    <row r="8" spans="2:6" x14ac:dyDescent="0.35">
      <c r="B8" t="s">
        <v>31</v>
      </c>
      <c r="C8" s="27">
        <f>BFR[[#This Row],[May-23]]-0.0025</f>
        <v>6.4500000000000002E-2</v>
      </c>
      <c r="D8" s="30">
        <v>6.7000000000000004E-2</v>
      </c>
      <c r="E8" s="28">
        <f>BFR[[#This Row],[Jul-25]]-BFR[[#This Row],[May-23]]</f>
        <v>-2.5000000000000022E-3</v>
      </c>
    </row>
    <row r="9" spans="2:6" x14ac:dyDescent="0.35">
      <c r="B9" t="s">
        <v>49</v>
      </c>
      <c r="C9" s="27">
        <f>BFR[[#This Row],[May-23]]-0.0025</f>
        <v>6.4500000000000002E-2</v>
      </c>
      <c r="D9" s="30">
        <v>6.7000000000000004E-2</v>
      </c>
      <c r="E9" s="28">
        <f>BFR[[#This Row],[Jul-25]]-BFR[[#This Row],[May-23]]</f>
        <v>-2.5000000000000022E-3</v>
      </c>
    </row>
    <row r="10" spans="2:6" x14ac:dyDescent="0.35">
      <c r="B10" t="s">
        <v>86</v>
      </c>
      <c r="C10" s="27">
        <f>BFR[[#This Row],[May-23]]-0.0025</f>
        <v>6.4500000000000002E-2</v>
      </c>
      <c r="D10" s="30">
        <v>6.7000000000000004E-2</v>
      </c>
      <c r="E10" s="28">
        <f>BFR[[#This Row],[Jul-25]]-BFR[[#This Row],[May-23]]</f>
        <v>-2.5000000000000022E-3</v>
      </c>
    </row>
    <row r="11" spans="2:6" x14ac:dyDescent="0.35">
      <c r="B11" t="s">
        <v>15</v>
      </c>
      <c r="C11" s="27">
        <f>BFR[[#This Row],[May-23]]-0.0025</f>
        <v>6.4699999999999994E-2</v>
      </c>
      <c r="D11" s="30">
        <v>6.7199999999999996E-2</v>
      </c>
      <c r="E11" s="28">
        <f>BFR[[#This Row],[Jul-25]]-BFR[[#This Row],[May-23]]</f>
        <v>-2.5000000000000022E-3</v>
      </c>
    </row>
    <row r="12" spans="2:6" x14ac:dyDescent="0.35">
      <c r="B12" t="s">
        <v>95</v>
      </c>
      <c r="C12" s="27">
        <f>BFR[[#This Row],[May-23]]-0.0025</f>
        <v>6.4699999999999994E-2</v>
      </c>
      <c r="D12" s="30">
        <v>6.7199999999999996E-2</v>
      </c>
      <c r="E12" s="28">
        <f>BFR[[#This Row],[Jul-25]]-BFR[[#This Row],[May-23]]</f>
        <v>-2.5000000000000022E-3</v>
      </c>
    </row>
    <row r="13" spans="2:6" x14ac:dyDescent="0.35">
      <c r="B13" t="s">
        <v>92</v>
      </c>
      <c r="C13" s="27">
        <f>BFR[[#This Row],[May-23]]-0.0025</f>
        <v>6.4899999999999999E-2</v>
      </c>
      <c r="D13" s="30">
        <v>6.7400000000000002E-2</v>
      </c>
      <c r="E13" s="28">
        <f>BFR[[#This Row],[Jul-25]]-BFR[[#This Row],[May-23]]</f>
        <v>-2.5000000000000022E-3</v>
      </c>
    </row>
    <row r="14" spans="2:6" x14ac:dyDescent="0.35">
      <c r="B14" t="s">
        <v>84</v>
      </c>
      <c r="C14" s="27">
        <f>BFR[[#This Row],[May-23]]-0.0025</f>
        <v>6.5000000000000002E-2</v>
      </c>
      <c r="D14" s="30">
        <v>6.7500000000000004E-2</v>
      </c>
      <c r="E14" s="28">
        <f>BFR[[#This Row],[Jul-25]]-BFR[[#This Row],[May-23]]</f>
        <v>-2.5000000000000022E-3</v>
      </c>
    </row>
    <row r="15" spans="2:6" x14ac:dyDescent="0.35">
      <c r="B15" t="s">
        <v>93</v>
      </c>
      <c r="C15" s="27">
        <f>BFR[[#This Row],[May-23]]-0.0025</f>
        <v>6.5000000000000002E-2</v>
      </c>
      <c r="D15" s="30">
        <v>6.7500000000000004E-2</v>
      </c>
      <c r="E15" s="28">
        <f>BFR[[#This Row],[Jul-25]]-BFR[[#This Row],[May-23]]</f>
        <v>-2.5000000000000022E-3</v>
      </c>
    </row>
    <row r="16" spans="2:6" x14ac:dyDescent="0.35">
      <c r="B16" t="s">
        <v>94</v>
      </c>
      <c r="C16" s="27">
        <f>BFR[[#This Row],[May-23]]-0.0025</f>
        <v>6.5100000000000005E-2</v>
      </c>
      <c r="D16" s="30">
        <v>6.7600000000000007E-2</v>
      </c>
      <c r="E16" s="28">
        <f>BFR[[#This Row],[Jul-25]]-BFR[[#This Row],[May-23]]</f>
        <v>-2.5000000000000022E-3</v>
      </c>
    </row>
    <row r="17" spans="2:6" x14ac:dyDescent="0.35">
      <c r="B17" t="s">
        <v>90</v>
      </c>
      <c r="C17" s="27">
        <f>BFR[[#This Row],[May-23]]-0.0025</f>
        <v>6.5500000000000003E-2</v>
      </c>
      <c r="D17" s="30">
        <v>6.8000000000000005E-2</v>
      </c>
      <c r="E17" s="28">
        <f>BFR[[#This Row],[Jul-25]]-BFR[[#This Row],[May-23]]</f>
        <v>-2.5000000000000022E-3</v>
      </c>
    </row>
    <row r="18" spans="2:6" x14ac:dyDescent="0.35">
      <c r="B18" t="s">
        <v>83</v>
      </c>
      <c r="C18" s="27">
        <f>BFR[[#This Row],[May-23]]-0.0025</f>
        <v>6.5600000000000006E-2</v>
      </c>
      <c r="D18" s="30">
        <v>6.8100000000000008E-2</v>
      </c>
      <c r="E18" s="28">
        <f>BFR[[#This Row],[Jul-25]]-BFR[[#This Row],[May-23]]</f>
        <v>-2.5000000000000022E-3</v>
      </c>
    </row>
    <row r="19" spans="2:6" x14ac:dyDescent="0.35">
      <c r="B19" t="s">
        <v>87</v>
      </c>
      <c r="C19" s="27">
        <f>BFR[[#This Row],[May-23]]-0.0025</f>
        <v>6.5600000000000006E-2</v>
      </c>
      <c r="D19" s="30">
        <v>6.8100000000000008E-2</v>
      </c>
      <c r="E19" s="28">
        <f>BFR[[#This Row],[Jul-25]]-BFR[[#This Row],[May-23]]</f>
        <v>-2.5000000000000022E-3</v>
      </c>
    </row>
    <row r="20" spans="2:6" x14ac:dyDescent="0.35">
      <c r="B20" t="s">
        <v>96</v>
      </c>
      <c r="C20" s="27">
        <f>BFR[[#This Row],[May-23]]-0.0025</f>
        <v>6.5699999999999995E-2</v>
      </c>
      <c r="D20" s="30">
        <v>6.8199999999999997E-2</v>
      </c>
      <c r="E20" s="28">
        <f>BFR[[#This Row],[Jul-25]]-BFR[[#This Row],[May-23]]</f>
        <v>-2.5000000000000022E-3</v>
      </c>
    </row>
    <row r="21" spans="2:6" x14ac:dyDescent="0.35">
      <c r="B21" t="s">
        <v>20</v>
      </c>
      <c r="C21" s="27">
        <f>BFR[[#This Row],[May-23]]-0.0025</f>
        <v>6.5799999999999997E-2</v>
      </c>
      <c r="D21" s="30">
        <v>6.83E-2</v>
      </c>
      <c r="E21" s="28">
        <f>BFR[[#This Row],[Jul-25]]-BFR[[#This Row],[May-23]]</f>
        <v>-2.5000000000000022E-3</v>
      </c>
    </row>
    <row r="22" spans="2:6" x14ac:dyDescent="0.35">
      <c r="B22" t="s">
        <v>89</v>
      </c>
      <c r="C22" s="27">
        <f>BFR[[#This Row],[May-23]]-0.0025</f>
        <v>6.6000000000000003E-2</v>
      </c>
      <c r="D22" s="30">
        <v>6.8500000000000005E-2</v>
      </c>
      <c r="E22" s="28">
        <f>BFR[[#This Row],[Jul-25]]-BFR[[#This Row],[May-23]]</f>
        <v>-2.5000000000000022E-3</v>
      </c>
    </row>
    <row r="23" spans="2:6" x14ac:dyDescent="0.35">
      <c r="B23" t="s">
        <v>91</v>
      </c>
      <c r="C23" s="27">
        <f>BFR[[#This Row],[May-23]]-0.0025</f>
        <v>6.6400000000000001E-2</v>
      </c>
      <c r="D23" s="30">
        <v>6.8900000000000003E-2</v>
      </c>
      <c r="E23" s="28">
        <f>BFR[[#This Row],[Jul-25]]-BFR[[#This Row],[May-23]]</f>
        <v>-2.5000000000000022E-3</v>
      </c>
    </row>
    <row r="24" spans="2:6" x14ac:dyDescent="0.35">
      <c r="B24" t="s">
        <v>40</v>
      </c>
      <c r="C24" s="27">
        <f>BFR[[#This Row],[May-23]]-0.0025</f>
        <v>6.7500000000000004E-2</v>
      </c>
      <c r="D24" s="31">
        <v>7.0000000000000007E-2</v>
      </c>
      <c r="E24" s="29">
        <f>BFR[[#This Row],[Jul-25]]-BFR[[#This Row],[May-23]]</f>
        <v>-2.5000000000000022E-3</v>
      </c>
      <c r="F24" t="s">
        <v>122</v>
      </c>
    </row>
  </sheetData>
  <phoneticPr fontId="5"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F0B08-25A0-446A-8464-A990CBCCA4F7}">
  <dimension ref="B1:Q27"/>
  <sheetViews>
    <sheetView view="pageBreakPreview" zoomScale="60" zoomScaleNormal="55" workbookViewId="0">
      <selection activeCell="I11" sqref="I11"/>
    </sheetView>
  </sheetViews>
  <sheetFormatPr defaultColWidth="9.1796875" defaultRowHeight="14" x14ac:dyDescent="0.35"/>
  <cols>
    <col min="1" max="1" width="9.1796875" style="52"/>
    <col min="2" max="2" width="38.7265625" style="52" customWidth="1"/>
    <col min="3" max="5" width="16.7265625" style="52" customWidth="1"/>
    <col min="6" max="8" width="23" style="52" customWidth="1"/>
    <col min="9" max="10" width="20.453125" style="52" customWidth="1"/>
    <col min="11" max="12" width="25.81640625" style="52" customWidth="1"/>
    <col min="13" max="13" width="15" style="52" bestFit="1" customWidth="1"/>
    <col min="14" max="14" width="22" style="52" bestFit="1" customWidth="1"/>
    <col min="15" max="15" width="19.7265625" style="52" bestFit="1" customWidth="1"/>
    <col min="16" max="17" width="22.7265625" style="52" customWidth="1"/>
    <col min="18" max="18" width="36.26953125" style="52" bestFit="1" customWidth="1"/>
    <col min="19" max="16384" width="9.1796875" style="52"/>
  </cols>
  <sheetData>
    <row r="1" spans="2:17" ht="24.5" x14ac:dyDescent="0.35">
      <c r="B1" s="11" t="s">
        <v>183</v>
      </c>
      <c r="E1" s="53"/>
      <c r="M1" s="54"/>
      <c r="N1" s="55"/>
      <c r="O1" s="56"/>
      <c r="P1" s="56"/>
    </row>
    <row r="2" spans="2:17" ht="14.5" customHeight="1" x14ac:dyDescent="0.35">
      <c r="B2" s="57"/>
      <c r="E2" s="53"/>
      <c r="M2" s="54"/>
      <c r="N2" s="55"/>
      <c r="O2" s="56"/>
      <c r="P2" s="104" t="s">
        <v>176</v>
      </c>
      <c r="Q2" s="104"/>
    </row>
    <row r="3" spans="2:17" s="1" customFormat="1" ht="50.15" customHeight="1" x14ac:dyDescent="0.35">
      <c r="B3" s="65" t="s">
        <v>1</v>
      </c>
      <c r="C3" s="65" t="s">
        <v>81</v>
      </c>
      <c r="D3" s="65" t="s">
        <v>2</v>
      </c>
      <c r="E3" s="66" t="s">
        <v>10</v>
      </c>
      <c r="F3" s="65" t="s">
        <v>3</v>
      </c>
      <c r="G3" s="65" t="s">
        <v>4</v>
      </c>
      <c r="H3" s="65" t="s">
        <v>11</v>
      </c>
      <c r="I3" s="65" t="s">
        <v>12</v>
      </c>
      <c r="J3" s="65" t="s">
        <v>13</v>
      </c>
      <c r="K3" s="65" t="s">
        <v>5</v>
      </c>
      <c r="L3" s="65" t="s">
        <v>9</v>
      </c>
      <c r="M3" s="67" t="s">
        <v>6</v>
      </c>
      <c r="N3" s="68" t="s">
        <v>82</v>
      </c>
      <c r="O3" s="68" t="s">
        <v>29</v>
      </c>
      <c r="P3" s="69" t="s">
        <v>7</v>
      </c>
      <c r="Q3" s="69" t="s">
        <v>8</v>
      </c>
    </row>
    <row r="4" spans="2:17" ht="40" customHeight="1" x14ac:dyDescent="0.35">
      <c r="B4" s="58" t="s">
        <v>177</v>
      </c>
      <c r="C4" s="58">
        <v>2026</v>
      </c>
      <c r="D4" s="58" t="s">
        <v>178</v>
      </c>
      <c r="E4" s="59"/>
      <c r="F4" s="58" t="s">
        <v>184</v>
      </c>
      <c r="G4" s="58"/>
      <c r="H4" s="58"/>
      <c r="I4" s="58"/>
      <c r="J4" s="58"/>
      <c r="K4" s="64" t="s">
        <v>180</v>
      </c>
      <c r="L4" s="51" t="s">
        <v>181</v>
      </c>
      <c r="M4" s="60">
        <v>0.3</v>
      </c>
      <c r="N4" s="63">
        <v>46146</v>
      </c>
      <c r="O4" s="61">
        <v>46146</v>
      </c>
      <c r="P4" s="62"/>
      <c r="Q4" s="58"/>
    </row>
    <row r="5" spans="2:17" ht="40" customHeight="1" x14ac:dyDescent="0.35">
      <c r="B5" s="58" t="s">
        <v>177</v>
      </c>
      <c r="C5" s="58">
        <v>2026</v>
      </c>
      <c r="D5" s="58" t="s">
        <v>179</v>
      </c>
      <c r="E5" s="58"/>
      <c r="F5" s="58" t="s">
        <v>184</v>
      </c>
      <c r="G5" s="58"/>
      <c r="H5" s="58"/>
      <c r="I5" s="58"/>
      <c r="J5" s="58"/>
      <c r="K5" s="64" t="s">
        <v>180</v>
      </c>
      <c r="L5" s="51" t="s">
        <v>182</v>
      </c>
      <c r="M5" s="60">
        <v>0.3</v>
      </c>
      <c r="N5" s="63">
        <v>46141</v>
      </c>
      <c r="O5" s="63">
        <v>46146</v>
      </c>
      <c r="P5" s="58"/>
      <c r="Q5" s="58"/>
    </row>
    <row r="6" spans="2:17" ht="40" customHeight="1" x14ac:dyDescent="0.35"/>
    <row r="7" spans="2:17" ht="40" customHeight="1" x14ac:dyDescent="0.35"/>
    <row r="8" spans="2:17" ht="40" customHeight="1" x14ac:dyDescent="0.35"/>
    <row r="9" spans="2:17" ht="40" customHeight="1" x14ac:dyDescent="0.35"/>
    <row r="10" spans="2:17" ht="40" customHeight="1" x14ac:dyDescent="0.35"/>
    <row r="11" spans="2:17" ht="40" customHeight="1" x14ac:dyDescent="0.35"/>
    <row r="12" spans="2:17" ht="40" customHeight="1" x14ac:dyDescent="0.35"/>
    <row r="13" spans="2:17" ht="40" customHeight="1" x14ac:dyDescent="0.35"/>
    <row r="14" spans="2:17" ht="40" customHeight="1" x14ac:dyDescent="0.35"/>
    <row r="15" spans="2:17" ht="40" customHeight="1" x14ac:dyDescent="0.35"/>
    <row r="16" spans="2:17" ht="40" customHeight="1" x14ac:dyDescent="0.35"/>
    <row r="17" s="52" customFormat="1" ht="40" customHeight="1" x14ac:dyDescent="0.35"/>
    <row r="18" s="52" customFormat="1" ht="40" customHeight="1" x14ac:dyDescent="0.35"/>
    <row r="19" s="52" customFormat="1" ht="40" customHeight="1" x14ac:dyDescent="0.35"/>
    <row r="20" s="52" customFormat="1" ht="40" customHeight="1" x14ac:dyDescent="0.35"/>
    <row r="21" s="52" customFormat="1" ht="40" customHeight="1" x14ac:dyDescent="0.35"/>
    <row r="22" s="52" customFormat="1" ht="40" customHeight="1" x14ac:dyDescent="0.35"/>
    <row r="23" s="52" customFormat="1" ht="40" customHeight="1" x14ac:dyDescent="0.35"/>
    <row r="24" s="52" customFormat="1" ht="40" customHeight="1" x14ac:dyDescent="0.35"/>
    <row r="25" s="52" customFormat="1" ht="40" customHeight="1" x14ac:dyDescent="0.35"/>
    <row r="26" s="52" customFormat="1" ht="40" customHeight="1" x14ac:dyDescent="0.35"/>
    <row r="27" s="52" customFormat="1" ht="40" customHeight="1" x14ac:dyDescent="0.35"/>
  </sheetData>
  <mergeCells count="1">
    <mergeCell ref="P2:Q2"/>
  </mergeCells>
  <conditionalFormatting sqref="M4:M5">
    <cfRule type="dataBar" priority="373">
      <dataBar>
        <cfvo type="min"/>
        <cfvo type="max"/>
        <color theme="9" tint="0.39997558519241921"/>
      </dataBar>
      <extLst>
        <ext xmlns:x14="http://schemas.microsoft.com/office/spreadsheetml/2009/9/main" uri="{B025F937-C7B1-47D3-B67F-A62EFF666E3E}">
          <x14:id>{7C9FADB5-862B-4DC8-963F-890716997FDF}</x14:id>
        </ext>
      </extLst>
    </cfRule>
  </conditionalFormatting>
  <pageMargins left="0.7" right="0.7" top="0.75" bottom="0.75" header="0.3" footer="0.3"/>
  <pageSetup paperSize="9" scale="36" orientation="landscape" r:id="rId1"/>
  <colBreaks count="1" manualBreakCount="1">
    <brk id="17" max="4" man="1"/>
  </colBreaks>
  <extLst>
    <ext xmlns:x14="http://schemas.microsoft.com/office/spreadsheetml/2009/9/main" uri="{78C0D931-6437-407d-A8EE-F0AAD7539E65}">
      <x14:conditionalFormattings>
        <x14:conditionalFormatting xmlns:xm="http://schemas.microsoft.com/office/excel/2006/main">
          <x14:cfRule type="dataBar" id="{7C9FADB5-862B-4DC8-963F-890716997FDF}">
            <x14:dataBar minLength="0" maxLength="100" gradient="0" direction="leftToRight">
              <x14:cfvo type="autoMin"/>
              <x14:cfvo type="autoMax"/>
              <x14:negativeFillColor rgb="FFFF0000"/>
              <x14:axisColor rgb="FF000000"/>
            </x14:dataBar>
          </x14:cfRule>
          <xm:sqref>M4:M5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DATABASE property</vt:lpstr>
      <vt:lpstr>DONE</vt:lpstr>
      <vt:lpstr>PENDING</vt:lpstr>
      <vt:lpstr>TO REVIEW BY BOS</vt:lpstr>
      <vt:lpstr>DECLINED</vt:lpstr>
      <vt:lpstr>ENGINE</vt:lpstr>
      <vt:lpstr>ASSET</vt:lpstr>
      <vt:lpstr>ASSET!Print_Area</vt:lpstr>
      <vt:lpstr>DECLINED!Print_Area</vt:lpstr>
      <vt:lpstr>DONE!Print_Area</vt:lpstr>
      <vt:lpstr>PENDING!Print_Area</vt:lpstr>
      <vt:lpstr>'TO REVIEW BY BOS'!Print_Area</vt:lpstr>
      <vt:lpstr>DONE!Print_Titles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halissa syahira</dc:creator>
  <cp:lastModifiedBy>Nur Afifa Dayana</cp:lastModifiedBy>
  <cp:lastPrinted>2026-06-07T07:46:00Z</cp:lastPrinted>
  <dcterms:created xsi:type="dcterms:W3CDTF">2022-09-22T02:03:33Z</dcterms:created>
  <dcterms:modified xsi:type="dcterms:W3CDTF">2026-07-01T00:25:56Z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2023-09-24T09:22:08Z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387d63ed-e35b-4ad1-b354-8f9d9c5bced0</vt:lpwstr>
  </property>
  <property fmtid="{D5CDD505-2E9C-101B-9397-08002B2CF9AE}" pid="7" name="MSIP_Label_defa4170-0d19-0005-0004-bc88714345d2_ActionId">
    <vt:lpwstr>3a6c7cbc-0407-4e09-b3e7-0aee13d3f6b5</vt:lpwstr>
  </property>
  <property fmtid="{D5CDD505-2E9C-101B-9397-08002B2CF9AE}" pid="8" name="MSIP_Label_defa4170-0d19-0005-0004-bc88714345d2_ContentBits">
    <vt:lpwstr>0</vt:lpwstr>
  </property>
</Properties>
</file>